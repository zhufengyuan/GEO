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数据看板" sheetId="2" state="visible" r:id="rId2"/>
  </sheets>
  <definedNames>
    <definedName name="_xlnm._FilterDatabase" localSheetId="0" hidden="1">'原始数据'!$A$2:$N$91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808080"/>
      <sz val="9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4F81BD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近30天 文章 &amp; 收录 趋势</a:t>
            </a:r>
          </a:p>
        </rich>
      </tx>
    </title>
    <plotArea>
      <lineChart>
        <grouping val="standard"/>
        <ser>
          <idx val="0"/>
          <order val="0"/>
          <tx>
            <strRef>
              <f>'原始数据'!G2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'原始数据'!$A$62:$A$91</f>
            </numRef>
          </cat>
          <val>
            <numRef>
              <f>'原始数据'!$G$3:$G$91</f>
            </numRef>
          </val>
        </ser>
        <ser>
          <idx val="1"/>
          <order val="1"/>
          <tx>
            <strRef>
              <f>'原始数据'!I2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'原始数据'!$A$62:$A$91</f>
            </numRef>
          </cat>
          <val>
            <numRef>
              <f>'原始数据'!$I$3:$I$91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</cols>
  <sheetData>
    <row r="1" ht="32" customHeight="1">
      <c r="A1" s="1" t="inlineStr">
        <is>
          <t>📊 数据统计 — 原始测试数据</t>
        </is>
      </c>
    </row>
    <row r="2" ht="26" customHeight="1">
      <c r="A2" s="2" t="inlineStr">
        <is>
          <t>日期</t>
        </is>
      </c>
      <c r="B2" s="2" t="inlineStr">
        <is>
          <t>年度</t>
        </is>
      </c>
      <c r="C2" s="2" t="inlineStr">
        <is>
          <t>季度</t>
        </is>
      </c>
      <c r="D2" s="2" t="inlineStr">
        <is>
          <t>月份</t>
        </is>
      </c>
      <c r="E2" s="2" t="inlineStr">
        <is>
          <t>周次</t>
        </is>
      </c>
      <c r="F2" s="2" t="inlineStr">
        <is>
          <t>星期</t>
        </is>
      </c>
      <c r="G2" s="2" t="inlineStr">
        <is>
          <t>生成文章数</t>
        </is>
      </c>
      <c r="H2" s="2" t="inlineStr">
        <is>
          <t>追踪链接数</t>
        </is>
      </c>
      <c r="I2" s="2" t="inlineStr">
        <is>
          <t>已收录数</t>
        </is>
      </c>
      <c r="J2" s="2" t="inlineStr">
        <is>
          <t>AI引用次数</t>
        </is>
      </c>
      <c r="K2" s="2" t="inlineStr">
        <is>
          <t>累计文章数</t>
        </is>
      </c>
      <c r="L2" s="2" t="inlineStr">
        <is>
          <t>文章环比增长</t>
        </is>
      </c>
      <c r="M2" s="2" t="inlineStr">
        <is>
          <t>收录率</t>
        </is>
      </c>
      <c r="N2" s="2" t="inlineStr">
        <is>
          <t>距今天数</t>
        </is>
      </c>
    </row>
    <row r="3" ht="20" customHeight="1">
      <c r="A3" s="3" t="inlineStr">
        <is>
          <t>2026-02-15</t>
        </is>
      </c>
      <c r="B3" s="3" t="n">
        <v>2026</v>
      </c>
      <c r="C3" s="3" t="inlineStr">
        <is>
          <t>Q1</t>
        </is>
      </c>
      <c r="D3" s="3" t="n">
        <v>2</v>
      </c>
      <c r="E3" s="3" t="inlineStr">
        <is>
          <t>周日</t>
        </is>
      </c>
      <c r="F3" s="3" t="n">
        <v>7</v>
      </c>
      <c r="G3" s="4" t="n">
        <v>2</v>
      </c>
      <c r="H3" s="4" t="n">
        <v>2</v>
      </c>
      <c r="I3" s="4" t="n">
        <v>1</v>
      </c>
      <c r="J3" s="4" t="n">
        <v>2</v>
      </c>
      <c r="K3" s="3">
        <f>G3</f>
        <v/>
      </c>
      <c r="L3" s="3" t="inlineStr">
        <is>
          <t>—</t>
        </is>
      </c>
      <c r="M3" s="5">
        <f>IFERROR(I3/G3,"N/A")</f>
        <v/>
      </c>
      <c r="N3" s="6" t="n">
        <v>88</v>
      </c>
    </row>
    <row r="4" ht="20" customHeight="1">
      <c r="A4" s="7" t="inlineStr">
        <is>
          <t>2026-02-16</t>
        </is>
      </c>
      <c r="B4" s="7" t="n">
        <v>2026</v>
      </c>
      <c r="C4" s="7" t="inlineStr">
        <is>
          <t>Q1</t>
        </is>
      </c>
      <c r="D4" s="7" t="n">
        <v>2</v>
      </c>
      <c r="E4" s="7" t="inlineStr">
        <is>
          <t>周一</t>
        </is>
      </c>
      <c r="F4" s="7" t="n">
        <v>8</v>
      </c>
      <c r="G4" s="8" t="n">
        <v>8</v>
      </c>
      <c r="H4" s="8" t="n">
        <v>7</v>
      </c>
      <c r="I4" s="8" t="n">
        <v>7</v>
      </c>
      <c r="J4" s="8" t="n">
        <v>1</v>
      </c>
      <c r="K4" s="7">
        <f>K3+G4</f>
        <v/>
      </c>
      <c r="L4" s="7" t="inlineStr">
        <is>
          <t>—</t>
        </is>
      </c>
      <c r="M4" s="9">
        <f>IFERROR(I4/G4,"N/A")</f>
        <v/>
      </c>
      <c r="N4" s="10" t="n">
        <v>87</v>
      </c>
    </row>
    <row r="5" ht="20" customHeight="1">
      <c r="A5" s="3" t="inlineStr">
        <is>
          <t>2026-02-17</t>
        </is>
      </c>
      <c r="B5" s="3" t="n">
        <v>2026</v>
      </c>
      <c r="C5" s="3" t="inlineStr">
        <is>
          <t>Q1</t>
        </is>
      </c>
      <c r="D5" s="3" t="n">
        <v>2</v>
      </c>
      <c r="E5" s="3" t="inlineStr">
        <is>
          <t>周二</t>
        </is>
      </c>
      <c r="F5" s="3" t="n">
        <v>8</v>
      </c>
      <c r="G5" s="4" t="n">
        <v>11</v>
      </c>
      <c r="H5" s="4" t="n">
        <v>11</v>
      </c>
      <c r="I5" s="4" t="n">
        <v>10</v>
      </c>
      <c r="J5" s="4" t="n">
        <v>1</v>
      </c>
      <c r="K5" s="3">
        <f>K4+G5</f>
        <v/>
      </c>
      <c r="L5" s="3" t="inlineStr">
        <is>
          <t>—</t>
        </is>
      </c>
      <c r="M5" s="5">
        <f>IFERROR(I5/G5,"N/A")</f>
        <v/>
      </c>
      <c r="N5" s="6" t="n">
        <v>86</v>
      </c>
    </row>
    <row r="6" ht="20" customHeight="1">
      <c r="A6" s="7" t="inlineStr">
        <is>
          <t>2026-02-18</t>
        </is>
      </c>
      <c r="B6" s="7" t="n">
        <v>2026</v>
      </c>
      <c r="C6" s="7" t="inlineStr">
        <is>
          <t>Q1</t>
        </is>
      </c>
      <c r="D6" s="7" t="n">
        <v>2</v>
      </c>
      <c r="E6" s="7" t="inlineStr">
        <is>
          <t>周三</t>
        </is>
      </c>
      <c r="F6" s="7" t="n">
        <v>8</v>
      </c>
      <c r="G6" s="8" t="n">
        <v>8</v>
      </c>
      <c r="H6" s="8" t="n">
        <v>7</v>
      </c>
      <c r="I6" s="8" t="n">
        <v>7</v>
      </c>
      <c r="J6" s="8" t="n">
        <v>2</v>
      </c>
      <c r="K6" s="7">
        <f>K5+G6</f>
        <v/>
      </c>
      <c r="L6" s="7" t="inlineStr">
        <is>
          <t>—</t>
        </is>
      </c>
      <c r="M6" s="9">
        <f>IFERROR(I6/G6,"N/A")</f>
        <v/>
      </c>
      <c r="N6" s="10" t="n">
        <v>85</v>
      </c>
    </row>
    <row r="7" ht="20" customHeight="1">
      <c r="A7" s="3" t="inlineStr">
        <is>
          <t>2026-02-19</t>
        </is>
      </c>
      <c r="B7" s="3" t="n">
        <v>2026</v>
      </c>
      <c r="C7" s="3" t="inlineStr">
        <is>
          <t>Q1</t>
        </is>
      </c>
      <c r="D7" s="3" t="n">
        <v>2</v>
      </c>
      <c r="E7" s="3" t="inlineStr">
        <is>
          <t>周四</t>
        </is>
      </c>
      <c r="F7" s="3" t="n">
        <v>8</v>
      </c>
      <c r="G7" s="4" t="n">
        <v>11</v>
      </c>
      <c r="H7" s="4" t="n">
        <v>10</v>
      </c>
      <c r="I7" s="4" t="n">
        <v>7</v>
      </c>
      <c r="J7" s="4" t="n">
        <v>3</v>
      </c>
      <c r="K7" s="3">
        <f>K6+G7</f>
        <v/>
      </c>
      <c r="L7" s="3" t="inlineStr">
        <is>
          <t>—</t>
        </is>
      </c>
      <c r="M7" s="5">
        <f>IFERROR(I7/G7,"N/A")</f>
        <v/>
      </c>
      <c r="N7" s="6" t="n">
        <v>84</v>
      </c>
    </row>
    <row r="8" ht="20" customHeight="1">
      <c r="A8" s="7" t="inlineStr">
        <is>
          <t>2026-02-20</t>
        </is>
      </c>
      <c r="B8" s="7" t="n">
        <v>2026</v>
      </c>
      <c r="C8" s="7" t="inlineStr">
        <is>
          <t>Q1</t>
        </is>
      </c>
      <c r="D8" s="7" t="n">
        <v>2</v>
      </c>
      <c r="E8" s="7" t="inlineStr">
        <is>
          <t>周五</t>
        </is>
      </c>
      <c r="F8" s="7" t="n">
        <v>8</v>
      </c>
      <c r="G8" s="8" t="n">
        <v>5</v>
      </c>
      <c r="H8" s="8" t="n">
        <v>4</v>
      </c>
      <c r="I8" s="8" t="n">
        <v>1</v>
      </c>
      <c r="J8" s="8" t="n">
        <v>3</v>
      </c>
      <c r="K8" s="7">
        <f>K7+G8</f>
        <v/>
      </c>
      <c r="L8" s="7" t="inlineStr">
        <is>
          <t>—</t>
        </is>
      </c>
      <c r="M8" s="9">
        <f>IFERROR(I8/G8,"N/A")</f>
        <v/>
      </c>
      <c r="N8" s="10" t="n">
        <v>83</v>
      </c>
    </row>
    <row r="9" ht="20" customHeight="1">
      <c r="A9" s="3" t="inlineStr">
        <is>
          <t>2026-02-21</t>
        </is>
      </c>
      <c r="B9" s="3" t="n">
        <v>2026</v>
      </c>
      <c r="C9" s="3" t="inlineStr">
        <is>
          <t>Q1</t>
        </is>
      </c>
      <c r="D9" s="3" t="n">
        <v>2</v>
      </c>
      <c r="E9" s="3" t="inlineStr">
        <is>
          <t>周六</t>
        </is>
      </c>
      <c r="F9" s="3" t="n">
        <v>8</v>
      </c>
      <c r="G9" s="4" t="n">
        <v>4</v>
      </c>
      <c r="H9" s="4" t="n">
        <v>3</v>
      </c>
      <c r="I9" s="4" t="n">
        <v>2</v>
      </c>
      <c r="J9" s="4" t="n">
        <v>3</v>
      </c>
      <c r="K9" s="3">
        <f>K8+G9</f>
        <v/>
      </c>
      <c r="L9" s="3" t="inlineStr">
        <is>
          <t>—</t>
        </is>
      </c>
      <c r="M9" s="5">
        <f>IFERROR(I9/G9,"N/A")</f>
        <v/>
      </c>
      <c r="N9" s="6" t="n">
        <v>82</v>
      </c>
    </row>
    <row r="10" ht="20" customHeight="1">
      <c r="A10" s="7" t="inlineStr">
        <is>
          <t>2026-02-22</t>
        </is>
      </c>
      <c r="B10" s="7" t="n">
        <v>2026</v>
      </c>
      <c r="C10" s="7" t="inlineStr">
        <is>
          <t>Q1</t>
        </is>
      </c>
      <c r="D10" s="7" t="n">
        <v>2</v>
      </c>
      <c r="E10" s="7" t="inlineStr">
        <is>
          <t>周日</t>
        </is>
      </c>
      <c r="F10" s="7" t="n">
        <v>8</v>
      </c>
      <c r="G10" s="8" t="n">
        <v>2</v>
      </c>
      <c r="H10" s="8" t="n">
        <v>2</v>
      </c>
      <c r="I10" s="8" t="n">
        <v>1</v>
      </c>
      <c r="J10" s="8" t="n">
        <v>1</v>
      </c>
      <c r="K10" s="7">
        <f>K9+G10</f>
        <v/>
      </c>
      <c r="L10" s="9">
        <f>IFERROR((G10-G3)/G3,"N/A")</f>
        <v/>
      </c>
      <c r="M10" s="9">
        <f>IFERROR(I10/G10,"N/A")</f>
        <v/>
      </c>
      <c r="N10" s="10" t="n">
        <v>81</v>
      </c>
    </row>
    <row r="11" ht="20" customHeight="1">
      <c r="A11" s="3" t="inlineStr">
        <is>
          <t>2026-02-23</t>
        </is>
      </c>
      <c r="B11" s="3" t="n">
        <v>2026</v>
      </c>
      <c r="C11" s="3" t="inlineStr">
        <is>
          <t>Q1</t>
        </is>
      </c>
      <c r="D11" s="3" t="n">
        <v>2</v>
      </c>
      <c r="E11" s="3" t="inlineStr">
        <is>
          <t>周一</t>
        </is>
      </c>
      <c r="F11" s="3" t="n">
        <v>9</v>
      </c>
      <c r="G11" s="4" t="n">
        <v>10</v>
      </c>
      <c r="H11" s="4" t="n">
        <v>8</v>
      </c>
      <c r="I11" s="4" t="n">
        <v>7</v>
      </c>
      <c r="J11" s="4" t="n">
        <v>1</v>
      </c>
      <c r="K11" s="3">
        <f>K10+G11</f>
        <v/>
      </c>
      <c r="L11" s="5">
        <f>IFERROR((G11-G4)/G4,"N/A")</f>
        <v/>
      </c>
      <c r="M11" s="5">
        <f>IFERROR(I11/G11,"N/A")</f>
        <v/>
      </c>
      <c r="N11" s="6" t="n">
        <v>80</v>
      </c>
    </row>
    <row r="12" ht="20" customHeight="1">
      <c r="A12" s="7" t="inlineStr">
        <is>
          <t>2026-02-24</t>
        </is>
      </c>
      <c r="B12" s="7" t="n">
        <v>2026</v>
      </c>
      <c r="C12" s="7" t="inlineStr">
        <is>
          <t>Q1</t>
        </is>
      </c>
      <c r="D12" s="7" t="n">
        <v>2</v>
      </c>
      <c r="E12" s="7" t="inlineStr">
        <is>
          <t>周二</t>
        </is>
      </c>
      <c r="F12" s="7" t="n">
        <v>9</v>
      </c>
      <c r="G12" s="8" t="n">
        <v>12</v>
      </c>
      <c r="H12" s="8" t="n">
        <v>12</v>
      </c>
      <c r="I12" s="8" t="n">
        <v>8</v>
      </c>
      <c r="J12" s="8" t="n">
        <v>1</v>
      </c>
      <c r="K12" s="7">
        <f>K11+G12</f>
        <v/>
      </c>
      <c r="L12" s="9">
        <f>IFERROR((G12-G5)/G5,"N/A")</f>
        <v/>
      </c>
      <c r="M12" s="9">
        <f>IFERROR(I12/G12,"N/A")</f>
        <v/>
      </c>
      <c r="N12" s="10" t="n">
        <v>79</v>
      </c>
    </row>
    <row r="13" ht="20" customHeight="1">
      <c r="A13" s="3" t="inlineStr">
        <is>
          <t>2026-02-25</t>
        </is>
      </c>
      <c r="B13" s="3" t="n">
        <v>2026</v>
      </c>
      <c r="C13" s="3" t="inlineStr">
        <is>
          <t>Q1</t>
        </is>
      </c>
      <c r="D13" s="3" t="n">
        <v>2</v>
      </c>
      <c r="E13" s="3" t="inlineStr">
        <is>
          <t>周三</t>
        </is>
      </c>
      <c r="F13" s="3" t="n">
        <v>9</v>
      </c>
      <c r="G13" s="4" t="n">
        <v>9</v>
      </c>
      <c r="H13" s="4" t="n">
        <v>7</v>
      </c>
      <c r="I13" s="4" t="n">
        <v>7</v>
      </c>
      <c r="J13" s="4" t="n">
        <v>1</v>
      </c>
      <c r="K13" s="3">
        <f>K12+G13</f>
        <v/>
      </c>
      <c r="L13" s="5">
        <f>IFERROR((G13-G6)/G6,"N/A")</f>
        <v/>
      </c>
      <c r="M13" s="5">
        <f>IFERROR(I13/G13,"N/A")</f>
        <v/>
      </c>
      <c r="N13" s="6" t="n">
        <v>78</v>
      </c>
    </row>
    <row r="14" ht="20" customHeight="1">
      <c r="A14" s="7" t="inlineStr">
        <is>
          <t>2026-02-26</t>
        </is>
      </c>
      <c r="B14" s="7" t="n">
        <v>2026</v>
      </c>
      <c r="C14" s="7" t="inlineStr">
        <is>
          <t>Q1</t>
        </is>
      </c>
      <c r="D14" s="7" t="n">
        <v>2</v>
      </c>
      <c r="E14" s="7" t="inlineStr">
        <is>
          <t>周四</t>
        </is>
      </c>
      <c r="F14" s="7" t="n">
        <v>9</v>
      </c>
      <c r="G14" s="8" t="n">
        <v>5</v>
      </c>
      <c r="H14" s="8" t="n">
        <v>4</v>
      </c>
      <c r="I14" s="8" t="n">
        <v>2</v>
      </c>
      <c r="J14" s="8" t="n">
        <v>1</v>
      </c>
      <c r="K14" s="7">
        <f>K13+G14</f>
        <v/>
      </c>
      <c r="L14" s="9">
        <f>IFERROR((G14-G7)/G7,"N/A")</f>
        <v/>
      </c>
      <c r="M14" s="9">
        <f>IFERROR(I14/G14,"N/A")</f>
        <v/>
      </c>
      <c r="N14" s="10" t="n">
        <v>77</v>
      </c>
    </row>
    <row r="15" ht="20" customHeight="1">
      <c r="A15" s="3" t="inlineStr">
        <is>
          <t>2026-02-27</t>
        </is>
      </c>
      <c r="B15" s="3" t="n">
        <v>2026</v>
      </c>
      <c r="C15" s="3" t="inlineStr">
        <is>
          <t>Q1</t>
        </is>
      </c>
      <c r="D15" s="3" t="n">
        <v>2</v>
      </c>
      <c r="E15" s="3" t="inlineStr">
        <is>
          <t>周五</t>
        </is>
      </c>
      <c r="F15" s="3" t="n">
        <v>9</v>
      </c>
      <c r="G15" s="4" t="n">
        <v>8</v>
      </c>
      <c r="H15" s="4" t="n">
        <v>8</v>
      </c>
      <c r="I15" s="4" t="n">
        <v>4</v>
      </c>
      <c r="J15" s="4" t="n">
        <v>3</v>
      </c>
      <c r="K15" s="3">
        <f>K14+G15</f>
        <v/>
      </c>
      <c r="L15" s="5">
        <f>IFERROR((G15-G8)/G8,"N/A")</f>
        <v/>
      </c>
      <c r="M15" s="5">
        <f>IFERROR(I15/G15,"N/A")</f>
        <v/>
      </c>
      <c r="N15" s="6" t="n">
        <v>76</v>
      </c>
    </row>
    <row r="16" ht="20" customHeight="1">
      <c r="A16" s="7" t="inlineStr">
        <is>
          <t>2026-02-28</t>
        </is>
      </c>
      <c r="B16" s="7" t="n">
        <v>2026</v>
      </c>
      <c r="C16" s="7" t="inlineStr">
        <is>
          <t>Q1</t>
        </is>
      </c>
      <c r="D16" s="7" t="n">
        <v>2</v>
      </c>
      <c r="E16" s="7" t="inlineStr">
        <is>
          <t>周六</t>
        </is>
      </c>
      <c r="F16" s="7" t="n">
        <v>9</v>
      </c>
      <c r="G16" s="8" t="n">
        <v>5</v>
      </c>
      <c r="H16" s="8" t="n">
        <v>3</v>
      </c>
      <c r="I16" s="8" t="n">
        <v>3</v>
      </c>
      <c r="J16" s="8" t="n">
        <v>3</v>
      </c>
      <c r="K16" s="7">
        <f>K15+G16</f>
        <v/>
      </c>
      <c r="L16" s="9">
        <f>IFERROR((G16-G9)/G9,"N/A")</f>
        <v/>
      </c>
      <c r="M16" s="9">
        <f>IFERROR(I16/G16,"N/A")</f>
        <v/>
      </c>
      <c r="N16" s="10" t="n">
        <v>75</v>
      </c>
    </row>
    <row r="17" ht="20" customHeight="1">
      <c r="A17" s="3" t="inlineStr">
        <is>
          <t>2026-03-01</t>
        </is>
      </c>
      <c r="B17" s="3" t="n">
        <v>2026</v>
      </c>
      <c r="C17" s="3" t="inlineStr">
        <is>
          <t>Q1</t>
        </is>
      </c>
      <c r="D17" s="3" t="n">
        <v>3</v>
      </c>
      <c r="E17" s="3" t="inlineStr">
        <is>
          <t>周日</t>
        </is>
      </c>
      <c r="F17" s="3" t="n">
        <v>9</v>
      </c>
      <c r="G17" s="4" t="n">
        <v>4</v>
      </c>
      <c r="H17" s="4" t="n">
        <v>3</v>
      </c>
      <c r="I17" s="4" t="n">
        <v>1</v>
      </c>
      <c r="J17" s="4" t="n">
        <v>1</v>
      </c>
      <c r="K17" s="3">
        <f>K16+G17</f>
        <v/>
      </c>
      <c r="L17" s="5">
        <f>IFERROR((G17-G10)/G10,"N/A")</f>
        <v/>
      </c>
      <c r="M17" s="5">
        <f>IFERROR(I17/G17,"N/A")</f>
        <v/>
      </c>
      <c r="N17" s="6" t="n">
        <v>74</v>
      </c>
    </row>
    <row r="18" ht="20" customHeight="1">
      <c r="A18" s="7" t="inlineStr">
        <is>
          <t>2026-03-02</t>
        </is>
      </c>
      <c r="B18" s="7" t="n">
        <v>2026</v>
      </c>
      <c r="C18" s="7" t="inlineStr">
        <is>
          <t>Q1</t>
        </is>
      </c>
      <c r="D18" s="7" t="n">
        <v>3</v>
      </c>
      <c r="E18" s="7" t="inlineStr">
        <is>
          <t>周一</t>
        </is>
      </c>
      <c r="F18" s="7" t="n">
        <v>10</v>
      </c>
      <c r="G18" s="8" t="n">
        <v>7</v>
      </c>
      <c r="H18" s="8" t="n">
        <v>6</v>
      </c>
      <c r="I18" s="8" t="n">
        <v>5</v>
      </c>
      <c r="J18" s="8" t="n">
        <v>4</v>
      </c>
      <c r="K18" s="7">
        <f>K17+G18</f>
        <v/>
      </c>
      <c r="L18" s="9">
        <f>IFERROR((G18-G11)/G11,"N/A")</f>
        <v/>
      </c>
      <c r="M18" s="9">
        <f>IFERROR(I18/G18,"N/A")</f>
        <v/>
      </c>
      <c r="N18" s="10" t="n">
        <v>73</v>
      </c>
    </row>
    <row r="19" ht="20" customHeight="1">
      <c r="A19" s="3" t="inlineStr">
        <is>
          <t>2026-03-03</t>
        </is>
      </c>
      <c r="B19" s="3" t="n">
        <v>2026</v>
      </c>
      <c r="C19" s="3" t="inlineStr">
        <is>
          <t>Q1</t>
        </is>
      </c>
      <c r="D19" s="3" t="n">
        <v>3</v>
      </c>
      <c r="E19" s="3" t="inlineStr">
        <is>
          <t>周二</t>
        </is>
      </c>
      <c r="F19" s="3" t="n">
        <v>10</v>
      </c>
      <c r="G19" s="4" t="n">
        <v>11</v>
      </c>
      <c r="H19" s="4" t="n">
        <v>9</v>
      </c>
      <c r="I19" s="4" t="n">
        <v>9</v>
      </c>
      <c r="J19" s="4" t="n">
        <v>3</v>
      </c>
      <c r="K19" s="3">
        <f>K18+G19</f>
        <v/>
      </c>
      <c r="L19" s="5">
        <f>IFERROR((G19-G12)/G12,"N/A")</f>
        <v/>
      </c>
      <c r="M19" s="5">
        <f>IFERROR(I19/G19,"N/A")</f>
        <v/>
      </c>
      <c r="N19" s="6" t="n">
        <v>72</v>
      </c>
    </row>
    <row r="20" ht="20" customHeight="1">
      <c r="A20" s="7" t="inlineStr">
        <is>
          <t>2026-03-04</t>
        </is>
      </c>
      <c r="B20" s="7" t="n">
        <v>2026</v>
      </c>
      <c r="C20" s="7" t="inlineStr">
        <is>
          <t>Q1</t>
        </is>
      </c>
      <c r="D20" s="7" t="n">
        <v>3</v>
      </c>
      <c r="E20" s="7" t="inlineStr">
        <is>
          <t>周三</t>
        </is>
      </c>
      <c r="F20" s="7" t="n">
        <v>10</v>
      </c>
      <c r="G20" s="8" t="n">
        <v>5</v>
      </c>
      <c r="H20" s="8" t="n">
        <v>4</v>
      </c>
      <c r="I20" s="8" t="n">
        <v>4</v>
      </c>
      <c r="J20" s="8" t="n">
        <v>3</v>
      </c>
      <c r="K20" s="7">
        <f>K19+G20</f>
        <v/>
      </c>
      <c r="L20" s="9">
        <f>IFERROR((G20-G13)/G13,"N/A")</f>
        <v/>
      </c>
      <c r="M20" s="9">
        <f>IFERROR(I20/G20,"N/A")</f>
        <v/>
      </c>
      <c r="N20" s="10" t="n">
        <v>71</v>
      </c>
    </row>
    <row r="21" ht="20" customHeight="1">
      <c r="A21" s="3" t="inlineStr">
        <is>
          <t>2026-03-05</t>
        </is>
      </c>
      <c r="B21" s="3" t="n">
        <v>2026</v>
      </c>
      <c r="C21" s="3" t="inlineStr">
        <is>
          <t>Q1</t>
        </is>
      </c>
      <c r="D21" s="3" t="n">
        <v>3</v>
      </c>
      <c r="E21" s="3" t="inlineStr">
        <is>
          <t>周四</t>
        </is>
      </c>
      <c r="F21" s="3" t="n">
        <v>10</v>
      </c>
      <c r="G21" s="4" t="n">
        <v>11</v>
      </c>
      <c r="H21" s="4" t="n">
        <v>9</v>
      </c>
      <c r="I21" s="4" t="n">
        <v>10</v>
      </c>
      <c r="J21" s="4" t="n">
        <v>2</v>
      </c>
      <c r="K21" s="3">
        <f>K20+G21</f>
        <v/>
      </c>
      <c r="L21" s="5">
        <f>IFERROR((G21-G14)/G14,"N/A")</f>
        <v/>
      </c>
      <c r="M21" s="5">
        <f>IFERROR(I21/G21,"N/A")</f>
        <v/>
      </c>
      <c r="N21" s="6" t="n">
        <v>70</v>
      </c>
    </row>
    <row r="22" ht="20" customHeight="1">
      <c r="A22" s="7" t="inlineStr">
        <is>
          <t>2026-03-06</t>
        </is>
      </c>
      <c r="B22" s="7" t="n">
        <v>2026</v>
      </c>
      <c r="C22" s="7" t="inlineStr">
        <is>
          <t>Q1</t>
        </is>
      </c>
      <c r="D22" s="7" t="n">
        <v>3</v>
      </c>
      <c r="E22" s="7" t="inlineStr">
        <is>
          <t>周五</t>
        </is>
      </c>
      <c r="F22" s="7" t="n">
        <v>10</v>
      </c>
      <c r="G22" s="8" t="n">
        <v>10</v>
      </c>
      <c r="H22" s="8" t="n">
        <v>9</v>
      </c>
      <c r="I22" s="8" t="n">
        <v>6</v>
      </c>
      <c r="J22" s="8" t="n">
        <v>4</v>
      </c>
      <c r="K22" s="7">
        <f>K21+G22</f>
        <v/>
      </c>
      <c r="L22" s="9">
        <f>IFERROR((G22-G15)/G15,"N/A")</f>
        <v/>
      </c>
      <c r="M22" s="9">
        <f>IFERROR(I22/G22,"N/A")</f>
        <v/>
      </c>
      <c r="N22" s="10" t="n">
        <v>69</v>
      </c>
    </row>
    <row r="23" ht="20" customHeight="1">
      <c r="A23" s="3" t="inlineStr">
        <is>
          <t>2026-03-07</t>
        </is>
      </c>
      <c r="B23" s="3" t="n">
        <v>2026</v>
      </c>
      <c r="C23" s="3" t="inlineStr">
        <is>
          <t>Q1</t>
        </is>
      </c>
      <c r="D23" s="3" t="n">
        <v>3</v>
      </c>
      <c r="E23" s="3" t="inlineStr">
        <is>
          <t>周六</t>
        </is>
      </c>
      <c r="F23" s="3" t="n">
        <v>10</v>
      </c>
      <c r="G23" s="4" t="n">
        <v>5</v>
      </c>
      <c r="H23" s="4" t="n">
        <v>4</v>
      </c>
      <c r="I23" s="4" t="n">
        <v>2</v>
      </c>
      <c r="J23" s="4" t="n">
        <v>2</v>
      </c>
      <c r="K23" s="3">
        <f>K22+G23</f>
        <v/>
      </c>
      <c r="L23" s="5">
        <f>IFERROR((G23-G16)/G16,"N/A")</f>
        <v/>
      </c>
      <c r="M23" s="5">
        <f>IFERROR(I23/G23,"N/A")</f>
        <v/>
      </c>
      <c r="N23" s="6" t="n">
        <v>68</v>
      </c>
    </row>
    <row r="24" ht="20" customHeight="1">
      <c r="A24" s="7" t="inlineStr">
        <is>
          <t>2026-03-08</t>
        </is>
      </c>
      <c r="B24" s="7" t="n">
        <v>2026</v>
      </c>
      <c r="C24" s="7" t="inlineStr">
        <is>
          <t>Q1</t>
        </is>
      </c>
      <c r="D24" s="7" t="n">
        <v>3</v>
      </c>
      <c r="E24" s="7" t="inlineStr">
        <is>
          <t>周日</t>
        </is>
      </c>
      <c r="F24" s="7" t="n">
        <v>10</v>
      </c>
      <c r="G24" s="8" t="n">
        <v>3</v>
      </c>
      <c r="H24" s="8" t="n">
        <v>1</v>
      </c>
      <c r="I24" s="8" t="n">
        <v>1</v>
      </c>
      <c r="J24" s="8" t="n">
        <v>4</v>
      </c>
      <c r="K24" s="7">
        <f>K23+G24</f>
        <v/>
      </c>
      <c r="L24" s="9">
        <f>IFERROR((G24-G17)/G17,"N/A")</f>
        <v/>
      </c>
      <c r="M24" s="9">
        <f>IFERROR(I24/G24,"N/A")</f>
        <v/>
      </c>
      <c r="N24" s="10" t="n">
        <v>67</v>
      </c>
    </row>
    <row r="25" ht="20" customHeight="1">
      <c r="A25" s="3" t="inlineStr">
        <is>
          <t>2026-03-09</t>
        </is>
      </c>
      <c r="B25" s="3" t="n">
        <v>2026</v>
      </c>
      <c r="C25" s="3" t="inlineStr">
        <is>
          <t>Q1</t>
        </is>
      </c>
      <c r="D25" s="3" t="n">
        <v>3</v>
      </c>
      <c r="E25" s="3" t="inlineStr">
        <is>
          <t>周一</t>
        </is>
      </c>
      <c r="F25" s="3" t="n">
        <v>11</v>
      </c>
      <c r="G25" s="4" t="n">
        <v>10</v>
      </c>
      <c r="H25" s="4" t="n">
        <v>9</v>
      </c>
      <c r="I25" s="4" t="n">
        <v>8</v>
      </c>
      <c r="J25" s="4" t="n">
        <v>4</v>
      </c>
      <c r="K25" s="3">
        <f>K24+G25</f>
        <v/>
      </c>
      <c r="L25" s="5">
        <f>IFERROR((G25-G18)/G18,"N/A")</f>
        <v/>
      </c>
      <c r="M25" s="5">
        <f>IFERROR(I25/G25,"N/A")</f>
        <v/>
      </c>
      <c r="N25" s="6" t="n">
        <v>66</v>
      </c>
    </row>
    <row r="26" ht="20" customHeight="1">
      <c r="A26" s="7" t="inlineStr">
        <is>
          <t>2026-03-10</t>
        </is>
      </c>
      <c r="B26" s="7" t="n">
        <v>2026</v>
      </c>
      <c r="C26" s="7" t="inlineStr">
        <is>
          <t>Q1</t>
        </is>
      </c>
      <c r="D26" s="7" t="n">
        <v>3</v>
      </c>
      <c r="E26" s="7" t="inlineStr">
        <is>
          <t>周二</t>
        </is>
      </c>
      <c r="F26" s="7" t="n">
        <v>11</v>
      </c>
      <c r="G26" s="8" t="n">
        <v>6</v>
      </c>
      <c r="H26" s="8" t="n">
        <v>6</v>
      </c>
      <c r="I26" s="8" t="n">
        <v>5</v>
      </c>
      <c r="J26" s="8" t="n">
        <v>2</v>
      </c>
      <c r="K26" s="7">
        <f>K25+G26</f>
        <v/>
      </c>
      <c r="L26" s="9">
        <f>IFERROR((G26-G19)/G19,"N/A")</f>
        <v/>
      </c>
      <c r="M26" s="9">
        <f>IFERROR(I26/G26,"N/A")</f>
        <v/>
      </c>
      <c r="N26" s="10" t="n">
        <v>65</v>
      </c>
    </row>
    <row r="27" ht="20" customHeight="1">
      <c r="A27" s="3" t="inlineStr">
        <is>
          <t>2026-03-11</t>
        </is>
      </c>
      <c r="B27" s="3" t="n">
        <v>2026</v>
      </c>
      <c r="C27" s="3" t="inlineStr">
        <is>
          <t>Q1</t>
        </is>
      </c>
      <c r="D27" s="3" t="n">
        <v>3</v>
      </c>
      <c r="E27" s="3" t="inlineStr">
        <is>
          <t>周三</t>
        </is>
      </c>
      <c r="F27" s="3" t="n">
        <v>11</v>
      </c>
      <c r="G27" s="4" t="n">
        <v>7</v>
      </c>
      <c r="H27" s="4" t="n">
        <v>4</v>
      </c>
      <c r="I27" s="4" t="n">
        <v>6</v>
      </c>
      <c r="J27" s="4" t="n">
        <v>4</v>
      </c>
      <c r="K27" s="3">
        <f>K26+G27</f>
        <v/>
      </c>
      <c r="L27" s="5">
        <f>IFERROR((G27-G20)/G20,"N/A")</f>
        <v/>
      </c>
      <c r="M27" s="5">
        <f>IFERROR(I27/G27,"N/A")</f>
        <v/>
      </c>
      <c r="N27" s="6" t="n">
        <v>64</v>
      </c>
    </row>
    <row r="28" ht="20" customHeight="1">
      <c r="A28" s="7" t="inlineStr">
        <is>
          <t>2026-03-12</t>
        </is>
      </c>
      <c r="B28" s="7" t="n">
        <v>2026</v>
      </c>
      <c r="C28" s="7" t="inlineStr">
        <is>
          <t>Q1</t>
        </is>
      </c>
      <c r="D28" s="7" t="n">
        <v>3</v>
      </c>
      <c r="E28" s="7" t="inlineStr">
        <is>
          <t>周四</t>
        </is>
      </c>
      <c r="F28" s="7" t="n">
        <v>11</v>
      </c>
      <c r="G28" s="8" t="n">
        <v>11</v>
      </c>
      <c r="H28" s="8" t="n">
        <v>8</v>
      </c>
      <c r="I28" s="8" t="n">
        <v>8</v>
      </c>
      <c r="J28" s="8" t="n">
        <v>1</v>
      </c>
      <c r="K28" s="7">
        <f>K27+G28</f>
        <v/>
      </c>
      <c r="L28" s="9">
        <f>IFERROR((G28-G21)/G21,"N/A")</f>
        <v/>
      </c>
      <c r="M28" s="9">
        <f>IFERROR(I28/G28,"N/A")</f>
        <v/>
      </c>
      <c r="N28" s="10" t="n">
        <v>63</v>
      </c>
    </row>
    <row r="29" ht="20" customHeight="1">
      <c r="A29" s="3" t="inlineStr">
        <is>
          <t>2026-03-13</t>
        </is>
      </c>
      <c r="B29" s="3" t="n">
        <v>2026</v>
      </c>
      <c r="C29" s="3" t="inlineStr">
        <is>
          <t>Q1</t>
        </is>
      </c>
      <c r="D29" s="3" t="n">
        <v>3</v>
      </c>
      <c r="E29" s="3" t="inlineStr">
        <is>
          <t>周五</t>
        </is>
      </c>
      <c r="F29" s="3" t="n">
        <v>11</v>
      </c>
      <c r="G29" s="4" t="n">
        <v>6</v>
      </c>
      <c r="H29" s="4" t="n">
        <v>4</v>
      </c>
      <c r="I29" s="4" t="n">
        <v>3</v>
      </c>
      <c r="J29" s="4" t="n">
        <v>1</v>
      </c>
      <c r="K29" s="3">
        <f>K28+G29</f>
        <v/>
      </c>
      <c r="L29" s="5">
        <f>IFERROR((G29-G22)/G22,"N/A")</f>
        <v/>
      </c>
      <c r="M29" s="5">
        <f>IFERROR(I29/G29,"N/A")</f>
        <v/>
      </c>
      <c r="N29" s="6" t="n">
        <v>62</v>
      </c>
    </row>
    <row r="30" ht="20" customHeight="1">
      <c r="A30" s="7" t="inlineStr">
        <is>
          <t>2026-03-14</t>
        </is>
      </c>
      <c r="B30" s="7" t="n">
        <v>2026</v>
      </c>
      <c r="C30" s="7" t="inlineStr">
        <is>
          <t>Q1</t>
        </is>
      </c>
      <c r="D30" s="7" t="n">
        <v>3</v>
      </c>
      <c r="E30" s="7" t="inlineStr">
        <is>
          <t>周六</t>
        </is>
      </c>
      <c r="F30" s="7" t="n">
        <v>11</v>
      </c>
      <c r="G30" s="8" t="n">
        <v>4</v>
      </c>
      <c r="H30" s="8" t="n">
        <v>1</v>
      </c>
      <c r="I30" s="8" t="n">
        <v>2</v>
      </c>
      <c r="J30" s="8" t="n">
        <v>4</v>
      </c>
      <c r="K30" s="7">
        <f>K29+G30</f>
        <v/>
      </c>
      <c r="L30" s="9">
        <f>IFERROR((G30-G23)/G23,"N/A")</f>
        <v/>
      </c>
      <c r="M30" s="9">
        <f>IFERROR(I30/G30,"N/A")</f>
        <v/>
      </c>
      <c r="N30" s="10" t="n">
        <v>61</v>
      </c>
    </row>
    <row r="31" ht="20" customHeight="1">
      <c r="A31" s="3" t="inlineStr">
        <is>
          <t>2026-03-15</t>
        </is>
      </c>
      <c r="B31" s="3" t="n">
        <v>2026</v>
      </c>
      <c r="C31" s="3" t="inlineStr">
        <is>
          <t>Q1</t>
        </is>
      </c>
      <c r="D31" s="3" t="n">
        <v>3</v>
      </c>
      <c r="E31" s="3" t="inlineStr">
        <is>
          <t>周日</t>
        </is>
      </c>
      <c r="F31" s="3" t="n">
        <v>11</v>
      </c>
      <c r="G31" s="4" t="n">
        <v>2</v>
      </c>
      <c r="H31" s="4" t="n">
        <v>1</v>
      </c>
      <c r="I31" s="4" t="n">
        <v>1</v>
      </c>
      <c r="J31" s="4" t="n">
        <v>1</v>
      </c>
      <c r="K31" s="3">
        <f>K30+G31</f>
        <v/>
      </c>
      <c r="L31" s="5">
        <f>IFERROR((G31-G24)/G24,"N/A")</f>
        <v/>
      </c>
      <c r="M31" s="5">
        <f>IFERROR(I31/G31,"N/A")</f>
        <v/>
      </c>
      <c r="N31" s="6" t="n">
        <v>60</v>
      </c>
    </row>
    <row r="32" ht="20" customHeight="1">
      <c r="A32" s="7" t="inlineStr">
        <is>
          <t>2026-03-16</t>
        </is>
      </c>
      <c r="B32" s="7" t="n">
        <v>2026</v>
      </c>
      <c r="C32" s="7" t="inlineStr">
        <is>
          <t>Q1</t>
        </is>
      </c>
      <c r="D32" s="7" t="n">
        <v>3</v>
      </c>
      <c r="E32" s="7" t="inlineStr">
        <is>
          <t>周一</t>
        </is>
      </c>
      <c r="F32" s="7" t="n">
        <v>12</v>
      </c>
      <c r="G32" s="8" t="n">
        <v>9</v>
      </c>
      <c r="H32" s="8" t="n">
        <v>8</v>
      </c>
      <c r="I32" s="8" t="n">
        <v>7</v>
      </c>
      <c r="J32" s="8" t="n">
        <v>3</v>
      </c>
      <c r="K32" s="7">
        <f>K31+G32</f>
        <v/>
      </c>
      <c r="L32" s="9">
        <f>IFERROR((G32-G25)/G25,"N/A")</f>
        <v/>
      </c>
      <c r="M32" s="9">
        <f>IFERROR(I32/G32,"N/A")</f>
        <v/>
      </c>
      <c r="N32" s="10" t="n">
        <v>59</v>
      </c>
    </row>
    <row r="33" ht="20" customHeight="1">
      <c r="A33" s="3" t="inlineStr">
        <is>
          <t>2026-03-17</t>
        </is>
      </c>
      <c r="B33" s="3" t="n">
        <v>2026</v>
      </c>
      <c r="C33" s="3" t="inlineStr">
        <is>
          <t>Q1</t>
        </is>
      </c>
      <c r="D33" s="3" t="n">
        <v>3</v>
      </c>
      <c r="E33" s="3" t="inlineStr">
        <is>
          <t>周二</t>
        </is>
      </c>
      <c r="F33" s="3" t="n">
        <v>12</v>
      </c>
      <c r="G33" s="4" t="n">
        <v>7</v>
      </c>
      <c r="H33" s="4" t="n">
        <v>7</v>
      </c>
      <c r="I33" s="4" t="n">
        <v>4</v>
      </c>
      <c r="J33" s="4" t="n">
        <v>4</v>
      </c>
      <c r="K33" s="3">
        <f>K32+G33</f>
        <v/>
      </c>
      <c r="L33" s="5">
        <f>IFERROR((G33-G26)/G26,"N/A")</f>
        <v/>
      </c>
      <c r="M33" s="5">
        <f>IFERROR(I33/G33,"N/A")</f>
        <v/>
      </c>
      <c r="N33" s="6" t="n">
        <v>58</v>
      </c>
    </row>
    <row r="34" ht="20" customHeight="1">
      <c r="A34" s="7" t="inlineStr">
        <is>
          <t>2026-03-18</t>
        </is>
      </c>
      <c r="B34" s="7" t="n">
        <v>2026</v>
      </c>
      <c r="C34" s="7" t="inlineStr">
        <is>
          <t>Q1</t>
        </is>
      </c>
      <c r="D34" s="7" t="n">
        <v>3</v>
      </c>
      <c r="E34" s="7" t="inlineStr">
        <is>
          <t>周三</t>
        </is>
      </c>
      <c r="F34" s="7" t="n">
        <v>12</v>
      </c>
      <c r="G34" s="8" t="n">
        <v>5</v>
      </c>
      <c r="H34" s="8" t="n">
        <v>5</v>
      </c>
      <c r="I34" s="8" t="n">
        <v>2</v>
      </c>
      <c r="J34" s="8" t="n">
        <v>3</v>
      </c>
      <c r="K34" s="7">
        <f>K33+G34</f>
        <v/>
      </c>
      <c r="L34" s="9">
        <f>IFERROR((G34-G27)/G27,"N/A")</f>
        <v/>
      </c>
      <c r="M34" s="9">
        <f>IFERROR(I34/G34,"N/A")</f>
        <v/>
      </c>
      <c r="N34" s="10" t="n">
        <v>57</v>
      </c>
    </row>
    <row r="35" ht="20" customHeight="1">
      <c r="A35" s="3" t="inlineStr">
        <is>
          <t>2026-03-19</t>
        </is>
      </c>
      <c r="B35" s="3" t="n">
        <v>2026</v>
      </c>
      <c r="C35" s="3" t="inlineStr">
        <is>
          <t>Q1</t>
        </is>
      </c>
      <c r="D35" s="3" t="n">
        <v>3</v>
      </c>
      <c r="E35" s="3" t="inlineStr">
        <is>
          <t>周四</t>
        </is>
      </c>
      <c r="F35" s="3" t="n">
        <v>12</v>
      </c>
      <c r="G35" s="4" t="n">
        <v>8</v>
      </c>
      <c r="H35" s="4" t="n">
        <v>8</v>
      </c>
      <c r="I35" s="4" t="n">
        <v>6</v>
      </c>
      <c r="J35" s="4" t="n">
        <v>1</v>
      </c>
      <c r="K35" s="3">
        <f>K34+G35</f>
        <v/>
      </c>
      <c r="L35" s="5">
        <f>IFERROR((G35-G28)/G28,"N/A")</f>
        <v/>
      </c>
      <c r="M35" s="5">
        <f>IFERROR(I35/G35,"N/A")</f>
        <v/>
      </c>
      <c r="N35" s="6" t="n">
        <v>56</v>
      </c>
    </row>
    <row r="36" ht="20" customHeight="1">
      <c r="A36" s="7" t="inlineStr">
        <is>
          <t>2026-03-20</t>
        </is>
      </c>
      <c r="B36" s="7" t="n">
        <v>2026</v>
      </c>
      <c r="C36" s="7" t="inlineStr">
        <is>
          <t>Q1</t>
        </is>
      </c>
      <c r="D36" s="7" t="n">
        <v>3</v>
      </c>
      <c r="E36" s="7" t="inlineStr">
        <is>
          <t>周五</t>
        </is>
      </c>
      <c r="F36" s="7" t="n">
        <v>12</v>
      </c>
      <c r="G36" s="8" t="n">
        <v>6</v>
      </c>
      <c r="H36" s="8" t="n">
        <v>3</v>
      </c>
      <c r="I36" s="8" t="n">
        <v>5</v>
      </c>
      <c r="J36" s="8" t="n">
        <v>2</v>
      </c>
      <c r="K36" s="7">
        <f>K35+G36</f>
        <v/>
      </c>
      <c r="L36" s="9">
        <f>IFERROR((G36-G29)/G29,"N/A")</f>
        <v/>
      </c>
      <c r="M36" s="9">
        <f>IFERROR(I36/G36,"N/A")</f>
        <v/>
      </c>
      <c r="N36" s="10" t="n">
        <v>55</v>
      </c>
    </row>
    <row r="37" ht="20" customHeight="1">
      <c r="A37" s="3" t="inlineStr">
        <is>
          <t>2026-03-21</t>
        </is>
      </c>
      <c r="B37" s="3" t="n">
        <v>2026</v>
      </c>
      <c r="C37" s="3" t="inlineStr">
        <is>
          <t>Q1</t>
        </is>
      </c>
      <c r="D37" s="3" t="n">
        <v>3</v>
      </c>
      <c r="E37" s="3" t="inlineStr">
        <is>
          <t>周六</t>
        </is>
      </c>
      <c r="F37" s="3" t="n">
        <v>12</v>
      </c>
      <c r="G37" s="4" t="n">
        <v>3</v>
      </c>
      <c r="H37" s="4" t="n">
        <v>1</v>
      </c>
      <c r="I37" s="4" t="n">
        <v>1</v>
      </c>
      <c r="J37" s="4" t="n">
        <v>3</v>
      </c>
      <c r="K37" s="3">
        <f>K36+G37</f>
        <v/>
      </c>
      <c r="L37" s="5">
        <f>IFERROR((G37-G30)/G30,"N/A")</f>
        <v/>
      </c>
      <c r="M37" s="5">
        <f>IFERROR(I37/G37,"N/A")</f>
        <v/>
      </c>
      <c r="N37" s="6" t="n">
        <v>54</v>
      </c>
    </row>
    <row r="38" ht="20" customHeight="1">
      <c r="A38" s="7" t="inlineStr">
        <is>
          <t>2026-03-22</t>
        </is>
      </c>
      <c r="B38" s="7" t="n">
        <v>2026</v>
      </c>
      <c r="C38" s="7" t="inlineStr">
        <is>
          <t>Q1</t>
        </is>
      </c>
      <c r="D38" s="7" t="n">
        <v>3</v>
      </c>
      <c r="E38" s="7" t="inlineStr">
        <is>
          <t>周日</t>
        </is>
      </c>
      <c r="F38" s="7" t="n">
        <v>12</v>
      </c>
      <c r="G38" s="8" t="n">
        <v>6</v>
      </c>
      <c r="H38" s="8" t="n">
        <v>3</v>
      </c>
      <c r="I38" s="8" t="n">
        <v>4</v>
      </c>
      <c r="J38" s="8" t="n">
        <v>2</v>
      </c>
      <c r="K38" s="7">
        <f>K37+G38</f>
        <v/>
      </c>
      <c r="L38" s="9">
        <f>IFERROR((G38-G31)/G31,"N/A")</f>
        <v/>
      </c>
      <c r="M38" s="9">
        <f>IFERROR(I38/G38,"N/A")</f>
        <v/>
      </c>
      <c r="N38" s="10" t="n">
        <v>53</v>
      </c>
    </row>
    <row r="39" ht="20" customHeight="1">
      <c r="A39" s="3" t="inlineStr">
        <is>
          <t>2026-03-23</t>
        </is>
      </c>
      <c r="B39" s="3" t="n">
        <v>2026</v>
      </c>
      <c r="C39" s="3" t="inlineStr">
        <is>
          <t>Q1</t>
        </is>
      </c>
      <c r="D39" s="3" t="n">
        <v>3</v>
      </c>
      <c r="E39" s="3" t="inlineStr">
        <is>
          <t>周一</t>
        </is>
      </c>
      <c r="F39" s="3" t="n">
        <v>13</v>
      </c>
      <c r="G39" s="4" t="n">
        <v>9</v>
      </c>
      <c r="H39" s="4" t="n">
        <v>6</v>
      </c>
      <c r="I39" s="4" t="n">
        <v>6</v>
      </c>
      <c r="J39" s="4" t="n">
        <v>4</v>
      </c>
      <c r="K39" s="3">
        <f>K38+G39</f>
        <v/>
      </c>
      <c r="L39" s="5">
        <f>IFERROR((G39-G32)/G32,"N/A")</f>
        <v/>
      </c>
      <c r="M39" s="5">
        <f>IFERROR(I39/G39,"N/A")</f>
        <v/>
      </c>
      <c r="N39" s="6" t="n">
        <v>52</v>
      </c>
    </row>
    <row r="40" ht="20" customHeight="1">
      <c r="A40" s="7" t="inlineStr">
        <is>
          <t>2026-03-24</t>
        </is>
      </c>
      <c r="B40" s="7" t="n">
        <v>2026</v>
      </c>
      <c r="C40" s="7" t="inlineStr">
        <is>
          <t>Q1</t>
        </is>
      </c>
      <c r="D40" s="7" t="n">
        <v>3</v>
      </c>
      <c r="E40" s="7" t="inlineStr">
        <is>
          <t>周二</t>
        </is>
      </c>
      <c r="F40" s="7" t="n">
        <v>13</v>
      </c>
      <c r="G40" s="8" t="n">
        <v>12</v>
      </c>
      <c r="H40" s="8" t="n">
        <v>12</v>
      </c>
      <c r="I40" s="8" t="n">
        <v>10</v>
      </c>
      <c r="J40" s="8" t="n">
        <v>2</v>
      </c>
      <c r="K40" s="7">
        <f>K39+G40</f>
        <v/>
      </c>
      <c r="L40" s="9">
        <f>IFERROR((G40-G33)/G33,"N/A")</f>
        <v/>
      </c>
      <c r="M40" s="9">
        <f>IFERROR(I40/G40,"N/A")</f>
        <v/>
      </c>
      <c r="N40" s="10" t="n">
        <v>51</v>
      </c>
    </row>
    <row r="41" ht="20" customHeight="1">
      <c r="A41" s="3" t="inlineStr">
        <is>
          <t>2026-03-25</t>
        </is>
      </c>
      <c r="B41" s="3" t="n">
        <v>2026</v>
      </c>
      <c r="C41" s="3" t="inlineStr">
        <is>
          <t>Q1</t>
        </is>
      </c>
      <c r="D41" s="3" t="n">
        <v>3</v>
      </c>
      <c r="E41" s="3" t="inlineStr">
        <is>
          <t>周三</t>
        </is>
      </c>
      <c r="F41" s="3" t="n">
        <v>13</v>
      </c>
      <c r="G41" s="4" t="n">
        <v>6</v>
      </c>
      <c r="H41" s="4" t="n">
        <v>4</v>
      </c>
      <c r="I41" s="4" t="n">
        <v>5</v>
      </c>
      <c r="J41" s="4" t="n">
        <v>2</v>
      </c>
      <c r="K41" s="3">
        <f>K40+G41</f>
        <v/>
      </c>
      <c r="L41" s="5">
        <f>IFERROR((G41-G34)/G34,"N/A")</f>
        <v/>
      </c>
      <c r="M41" s="5">
        <f>IFERROR(I41/G41,"N/A")</f>
        <v/>
      </c>
      <c r="N41" s="6" t="n">
        <v>50</v>
      </c>
    </row>
    <row r="42" ht="20" customHeight="1">
      <c r="A42" s="7" t="inlineStr">
        <is>
          <t>2026-03-26</t>
        </is>
      </c>
      <c r="B42" s="7" t="n">
        <v>2026</v>
      </c>
      <c r="C42" s="7" t="inlineStr">
        <is>
          <t>Q1</t>
        </is>
      </c>
      <c r="D42" s="7" t="n">
        <v>3</v>
      </c>
      <c r="E42" s="7" t="inlineStr">
        <is>
          <t>周四</t>
        </is>
      </c>
      <c r="F42" s="7" t="n">
        <v>13</v>
      </c>
      <c r="G42" s="8" t="n">
        <v>8</v>
      </c>
      <c r="H42" s="8" t="n">
        <v>8</v>
      </c>
      <c r="I42" s="8" t="n">
        <v>7</v>
      </c>
      <c r="J42" s="8" t="n">
        <v>1</v>
      </c>
      <c r="K42" s="7">
        <f>K41+G42</f>
        <v/>
      </c>
      <c r="L42" s="9">
        <f>IFERROR((G42-G35)/G35,"N/A")</f>
        <v/>
      </c>
      <c r="M42" s="9">
        <f>IFERROR(I42/G42,"N/A")</f>
        <v/>
      </c>
      <c r="N42" s="10" t="n">
        <v>49</v>
      </c>
    </row>
    <row r="43" ht="20" customHeight="1">
      <c r="A43" s="3" t="inlineStr">
        <is>
          <t>2026-03-27</t>
        </is>
      </c>
      <c r="B43" s="3" t="n">
        <v>2026</v>
      </c>
      <c r="C43" s="3" t="inlineStr">
        <is>
          <t>Q1</t>
        </is>
      </c>
      <c r="D43" s="3" t="n">
        <v>3</v>
      </c>
      <c r="E43" s="3" t="inlineStr">
        <is>
          <t>周五</t>
        </is>
      </c>
      <c r="F43" s="3" t="n">
        <v>13</v>
      </c>
      <c r="G43" s="4" t="n">
        <v>8</v>
      </c>
      <c r="H43" s="4" t="n">
        <v>8</v>
      </c>
      <c r="I43" s="4" t="n">
        <v>7</v>
      </c>
      <c r="J43" s="4" t="n">
        <v>3</v>
      </c>
      <c r="K43" s="3">
        <f>K42+G43</f>
        <v/>
      </c>
      <c r="L43" s="5">
        <f>IFERROR((G43-G36)/G36,"N/A")</f>
        <v/>
      </c>
      <c r="M43" s="5">
        <f>IFERROR(I43/G43,"N/A")</f>
        <v/>
      </c>
      <c r="N43" s="6" t="n">
        <v>48</v>
      </c>
    </row>
    <row r="44" ht="20" customHeight="1">
      <c r="A44" s="7" t="inlineStr">
        <is>
          <t>2026-03-28</t>
        </is>
      </c>
      <c r="B44" s="7" t="n">
        <v>2026</v>
      </c>
      <c r="C44" s="7" t="inlineStr">
        <is>
          <t>Q1</t>
        </is>
      </c>
      <c r="D44" s="7" t="n">
        <v>3</v>
      </c>
      <c r="E44" s="7" t="inlineStr">
        <is>
          <t>周六</t>
        </is>
      </c>
      <c r="F44" s="7" t="n">
        <v>13</v>
      </c>
      <c r="G44" s="8" t="n">
        <v>2</v>
      </c>
      <c r="H44" s="8" t="n">
        <v>1</v>
      </c>
      <c r="I44" s="8" t="n">
        <v>1</v>
      </c>
      <c r="J44" s="8" t="n">
        <v>4</v>
      </c>
      <c r="K44" s="7">
        <f>K43+G44</f>
        <v/>
      </c>
      <c r="L44" s="9">
        <f>IFERROR((G44-G37)/G37,"N/A")</f>
        <v/>
      </c>
      <c r="M44" s="9">
        <f>IFERROR(I44/G44,"N/A")</f>
        <v/>
      </c>
      <c r="N44" s="10" t="n">
        <v>47</v>
      </c>
    </row>
    <row r="45" ht="20" customHeight="1">
      <c r="A45" s="3" t="inlineStr">
        <is>
          <t>2026-03-29</t>
        </is>
      </c>
      <c r="B45" s="3" t="n">
        <v>2026</v>
      </c>
      <c r="C45" s="3" t="inlineStr">
        <is>
          <t>Q1</t>
        </is>
      </c>
      <c r="D45" s="3" t="n">
        <v>3</v>
      </c>
      <c r="E45" s="3" t="inlineStr">
        <is>
          <t>周日</t>
        </is>
      </c>
      <c r="F45" s="3" t="n">
        <v>13</v>
      </c>
      <c r="G45" s="4" t="n">
        <v>3</v>
      </c>
      <c r="H45" s="4" t="n">
        <v>2</v>
      </c>
      <c r="I45" s="4" t="n">
        <v>1</v>
      </c>
      <c r="J45" s="4" t="n">
        <v>2</v>
      </c>
      <c r="K45" s="3">
        <f>K44+G45</f>
        <v/>
      </c>
      <c r="L45" s="5">
        <f>IFERROR((G45-G38)/G38,"N/A")</f>
        <v/>
      </c>
      <c r="M45" s="5">
        <f>IFERROR(I45/G45,"N/A")</f>
        <v/>
      </c>
      <c r="N45" s="6" t="n">
        <v>46</v>
      </c>
    </row>
    <row r="46" ht="20" customHeight="1">
      <c r="A46" s="7" t="inlineStr">
        <is>
          <t>2026-03-30</t>
        </is>
      </c>
      <c r="B46" s="7" t="n">
        <v>2026</v>
      </c>
      <c r="C46" s="7" t="inlineStr">
        <is>
          <t>Q1</t>
        </is>
      </c>
      <c r="D46" s="7" t="n">
        <v>3</v>
      </c>
      <c r="E46" s="7" t="inlineStr">
        <is>
          <t>周一</t>
        </is>
      </c>
      <c r="F46" s="7" t="n">
        <v>14</v>
      </c>
      <c r="G46" s="8" t="n">
        <v>12</v>
      </c>
      <c r="H46" s="8" t="n">
        <v>9</v>
      </c>
      <c r="I46" s="8" t="n">
        <v>10</v>
      </c>
      <c r="J46" s="8" t="n">
        <v>1</v>
      </c>
      <c r="K46" s="7">
        <f>K45+G46</f>
        <v/>
      </c>
      <c r="L46" s="9">
        <f>IFERROR((G46-G39)/G39,"N/A")</f>
        <v/>
      </c>
      <c r="M46" s="9">
        <f>IFERROR(I46/G46,"N/A")</f>
        <v/>
      </c>
      <c r="N46" s="10" t="n">
        <v>45</v>
      </c>
    </row>
    <row r="47" ht="20" customHeight="1">
      <c r="A47" s="3" t="inlineStr">
        <is>
          <t>2026-03-31</t>
        </is>
      </c>
      <c r="B47" s="3" t="n">
        <v>2026</v>
      </c>
      <c r="C47" s="3" t="inlineStr">
        <is>
          <t>Q1</t>
        </is>
      </c>
      <c r="D47" s="3" t="n">
        <v>3</v>
      </c>
      <c r="E47" s="3" t="inlineStr">
        <is>
          <t>周二</t>
        </is>
      </c>
      <c r="F47" s="3" t="n">
        <v>14</v>
      </c>
      <c r="G47" s="4" t="n">
        <v>6</v>
      </c>
      <c r="H47" s="4" t="n">
        <v>3</v>
      </c>
      <c r="I47" s="4" t="n">
        <v>3</v>
      </c>
      <c r="J47" s="4" t="n">
        <v>4</v>
      </c>
      <c r="K47" s="3">
        <f>K46+G47</f>
        <v/>
      </c>
      <c r="L47" s="5">
        <f>IFERROR((G47-G40)/G40,"N/A")</f>
        <v/>
      </c>
      <c r="M47" s="5">
        <f>IFERROR(I47/G47,"N/A")</f>
        <v/>
      </c>
      <c r="N47" s="6" t="n">
        <v>44</v>
      </c>
    </row>
    <row r="48" ht="20" customHeight="1">
      <c r="A48" s="7" t="inlineStr">
        <is>
          <t>2026-04-01</t>
        </is>
      </c>
      <c r="B48" s="7" t="n">
        <v>2026</v>
      </c>
      <c r="C48" s="7" t="inlineStr">
        <is>
          <t>Q2</t>
        </is>
      </c>
      <c r="D48" s="7" t="n">
        <v>4</v>
      </c>
      <c r="E48" s="7" t="inlineStr">
        <is>
          <t>周三</t>
        </is>
      </c>
      <c r="F48" s="7" t="n">
        <v>14</v>
      </c>
      <c r="G48" s="8" t="n">
        <v>11</v>
      </c>
      <c r="H48" s="8" t="n">
        <v>8</v>
      </c>
      <c r="I48" s="8" t="n">
        <v>10</v>
      </c>
      <c r="J48" s="8" t="n">
        <v>1</v>
      </c>
      <c r="K48" s="7">
        <f>K47+G48</f>
        <v/>
      </c>
      <c r="L48" s="9">
        <f>IFERROR((G48-G41)/G41,"N/A")</f>
        <v/>
      </c>
      <c r="M48" s="9">
        <f>IFERROR(I48/G48,"N/A")</f>
        <v/>
      </c>
      <c r="N48" s="10" t="n">
        <v>43</v>
      </c>
    </row>
    <row r="49" ht="20" customHeight="1">
      <c r="A49" s="3" t="inlineStr">
        <is>
          <t>2026-04-02</t>
        </is>
      </c>
      <c r="B49" s="3" t="n">
        <v>2026</v>
      </c>
      <c r="C49" s="3" t="inlineStr">
        <is>
          <t>Q2</t>
        </is>
      </c>
      <c r="D49" s="3" t="n">
        <v>4</v>
      </c>
      <c r="E49" s="3" t="inlineStr">
        <is>
          <t>周四</t>
        </is>
      </c>
      <c r="F49" s="3" t="n">
        <v>14</v>
      </c>
      <c r="G49" s="4" t="n">
        <v>5</v>
      </c>
      <c r="H49" s="4" t="n">
        <v>2</v>
      </c>
      <c r="I49" s="4" t="n">
        <v>2</v>
      </c>
      <c r="J49" s="4" t="n">
        <v>1</v>
      </c>
      <c r="K49" s="3">
        <f>K48+G49</f>
        <v/>
      </c>
      <c r="L49" s="5">
        <f>IFERROR((G49-G42)/G42,"N/A")</f>
        <v/>
      </c>
      <c r="M49" s="5">
        <f>IFERROR(I49/G49,"N/A")</f>
        <v/>
      </c>
      <c r="N49" s="6" t="n">
        <v>42</v>
      </c>
    </row>
    <row r="50" ht="20" customHeight="1">
      <c r="A50" s="7" t="inlineStr">
        <is>
          <t>2026-04-03</t>
        </is>
      </c>
      <c r="B50" s="7" t="n">
        <v>2026</v>
      </c>
      <c r="C50" s="7" t="inlineStr">
        <is>
          <t>Q2</t>
        </is>
      </c>
      <c r="D50" s="7" t="n">
        <v>4</v>
      </c>
      <c r="E50" s="7" t="inlineStr">
        <is>
          <t>周五</t>
        </is>
      </c>
      <c r="F50" s="7" t="n">
        <v>14</v>
      </c>
      <c r="G50" s="8" t="n">
        <v>8</v>
      </c>
      <c r="H50" s="8" t="n">
        <v>7</v>
      </c>
      <c r="I50" s="8" t="n">
        <v>6</v>
      </c>
      <c r="J50" s="8" t="n">
        <v>4</v>
      </c>
      <c r="K50" s="7">
        <f>K49+G50</f>
        <v/>
      </c>
      <c r="L50" s="9">
        <f>IFERROR((G50-G43)/G43,"N/A")</f>
        <v/>
      </c>
      <c r="M50" s="9">
        <f>IFERROR(I50/G50,"N/A")</f>
        <v/>
      </c>
      <c r="N50" s="10" t="n">
        <v>41</v>
      </c>
    </row>
    <row r="51" ht="20" customHeight="1">
      <c r="A51" s="3" t="inlineStr">
        <is>
          <t>2026-04-04</t>
        </is>
      </c>
      <c r="B51" s="3" t="n">
        <v>2026</v>
      </c>
      <c r="C51" s="3" t="inlineStr">
        <is>
          <t>Q2</t>
        </is>
      </c>
      <c r="D51" s="3" t="n">
        <v>4</v>
      </c>
      <c r="E51" s="3" t="inlineStr">
        <is>
          <t>周六</t>
        </is>
      </c>
      <c r="F51" s="3" t="n">
        <v>14</v>
      </c>
      <c r="G51" s="4" t="n">
        <v>3</v>
      </c>
      <c r="H51" s="4" t="n">
        <v>1</v>
      </c>
      <c r="I51" s="4" t="n">
        <v>1</v>
      </c>
      <c r="J51" s="4" t="n">
        <v>3</v>
      </c>
      <c r="K51" s="3">
        <f>K50+G51</f>
        <v/>
      </c>
      <c r="L51" s="5">
        <f>IFERROR((G51-G44)/G44,"N/A")</f>
        <v/>
      </c>
      <c r="M51" s="5">
        <f>IFERROR(I51/G51,"N/A")</f>
        <v/>
      </c>
      <c r="N51" s="6" t="n">
        <v>40</v>
      </c>
    </row>
    <row r="52" ht="20" customHeight="1">
      <c r="A52" s="7" t="inlineStr">
        <is>
          <t>2026-04-05</t>
        </is>
      </c>
      <c r="B52" s="7" t="n">
        <v>2026</v>
      </c>
      <c r="C52" s="7" t="inlineStr">
        <is>
          <t>Q2</t>
        </is>
      </c>
      <c r="D52" s="7" t="n">
        <v>4</v>
      </c>
      <c r="E52" s="7" t="inlineStr">
        <is>
          <t>周日</t>
        </is>
      </c>
      <c r="F52" s="7" t="n">
        <v>14</v>
      </c>
      <c r="G52" s="8" t="n">
        <v>5</v>
      </c>
      <c r="H52" s="8" t="n">
        <v>4</v>
      </c>
      <c r="I52" s="8" t="n">
        <v>4</v>
      </c>
      <c r="J52" s="8" t="n">
        <v>4</v>
      </c>
      <c r="K52" s="7">
        <f>K51+G52</f>
        <v/>
      </c>
      <c r="L52" s="9">
        <f>IFERROR((G52-G45)/G45,"N/A")</f>
        <v/>
      </c>
      <c r="M52" s="9">
        <f>IFERROR(I52/G52,"N/A")</f>
        <v/>
      </c>
      <c r="N52" s="10" t="n">
        <v>39</v>
      </c>
    </row>
    <row r="53" ht="20" customHeight="1">
      <c r="A53" s="3" t="inlineStr">
        <is>
          <t>2026-04-06</t>
        </is>
      </c>
      <c r="B53" s="3" t="n">
        <v>2026</v>
      </c>
      <c r="C53" s="3" t="inlineStr">
        <is>
          <t>Q2</t>
        </is>
      </c>
      <c r="D53" s="3" t="n">
        <v>4</v>
      </c>
      <c r="E53" s="3" t="inlineStr">
        <is>
          <t>周一</t>
        </is>
      </c>
      <c r="F53" s="3" t="n">
        <v>15</v>
      </c>
      <c r="G53" s="4" t="n">
        <v>6</v>
      </c>
      <c r="H53" s="4" t="n">
        <v>6</v>
      </c>
      <c r="I53" s="4" t="n">
        <v>5</v>
      </c>
      <c r="J53" s="4" t="n">
        <v>1</v>
      </c>
      <c r="K53" s="3">
        <f>K52+G53</f>
        <v/>
      </c>
      <c r="L53" s="5">
        <f>IFERROR((G53-G46)/G46,"N/A")</f>
        <v/>
      </c>
      <c r="M53" s="5">
        <f>IFERROR(I53/G53,"N/A")</f>
        <v/>
      </c>
      <c r="N53" s="6" t="n">
        <v>38</v>
      </c>
    </row>
    <row r="54" ht="20" customHeight="1">
      <c r="A54" s="7" t="inlineStr">
        <is>
          <t>2026-04-07</t>
        </is>
      </c>
      <c r="B54" s="7" t="n">
        <v>2026</v>
      </c>
      <c r="C54" s="7" t="inlineStr">
        <is>
          <t>Q2</t>
        </is>
      </c>
      <c r="D54" s="7" t="n">
        <v>4</v>
      </c>
      <c r="E54" s="7" t="inlineStr">
        <is>
          <t>周二</t>
        </is>
      </c>
      <c r="F54" s="7" t="n">
        <v>15</v>
      </c>
      <c r="G54" s="8" t="n">
        <v>8</v>
      </c>
      <c r="H54" s="8" t="n">
        <v>7</v>
      </c>
      <c r="I54" s="8" t="n">
        <v>4</v>
      </c>
      <c r="J54" s="8" t="n">
        <v>4</v>
      </c>
      <c r="K54" s="7">
        <f>K53+G54</f>
        <v/>
      </c>
      <c r="L54" s="9">
        <f>IFERROR((G54-G47)/G47,"N/A")</f>
        <v/>
      </c>
      <c r="M54" s="9">
        <f>IFERROR(I54/G54,"N/A")</f>
        <v/>
      </c>
      <c r="N54" s="10" t="n">
        <v>37</v>
      </c>
    </row>
    <row r="55" ht="20" customHeight="1">
      <c r="A55" s="3" t="inlineStr">
        <is>
          <t>2026-04-08</t>
        </is>
      </c>
      <c r="B55" s="3" t="n">
        <v>2026</v>
      </c>
      <c r="C55" s="3" t="inlineStr">
        <is>
          <t>Q2</t>
        </is>
      </c>
      <c r="D55" s="3" t="n">
        <v>4</v>
      </c>
      <c r="E55" s="3" t="inlineStr">
        <is>
          <t>周三</t>
        </is>
      </c>
      <c r="F55" s="3" t="n">
        <v>15</v>
      </c>
      <c r="G55" s="4" t="n">
        <v>12</v>
      </c>
      <c r="H55" s="4" t="n">
        <v>11</v>
      </c>
      <c r="I55" s="4" t="n">
        <v>8</v>
      </c>
      <c r="J55" s="4" t="n">
        <v>1</v>
      </c>
      <c r="K55" s="3">
        <f>K54+G55</f>
        <v/>
      </c>
      <c r="L55" s="5">
        <f>IFERROR((G55-G48)/G48,"N/A")</f>
        <v/>
      </c>
      <c r="M55" s="5">
        <f>IFERROR(I55/G55,"N/A")</f>
        <v/>
      </c>
      <c r="N55" s="6" t="n">
        <v>36</v>
      </c>
    </row>
    <row r="56" ht="20" customHeight="1">
      <c r="A56" s="7" t="inlineStr">
        <is>
          <t>2026-04-09</t>
        </is>
      </c>
      <c r="B56" s="7" t="n">
        <v>2026</v>
      </c>
      <c r="C56" s="7" t="inlineStr">
        <is>
          <t>Q2</t>
        </is>
      </c>
      <c r="D56" s="7" t="n">
        <v>4</v>
      </c>
      <c r="E56" s="7" t="inlineStr">
        <is>
          <t>周四</t>
        </is>
      </c>
      <c r="F56" s="7" t="n">
        <v>15</v>
      </c>
      <c r="G56" s="8" t="n">
        <v>7</v>
      </c>
      <c r="H56" s="8" t="n">
        <v>4</v>
      </c>
      <c r="I56" s="8" t="n">
        <v>6</v>
      </c>
      <c r="J56" s="8" t="n">
        <v>4</v>
      </c>
      <c r="K56" s="7">
        <f>K55+G56</f>
        <v/>
      </c>
      <c r="L56" s="9">
        <f>IFERROR((G56-G49)/G49,"N/A")</f>
        <v/>
      </c>
      <c r="M56" s="9">
        <f>IFERROR(I56/G56,"N/A")</f>
        <v/>
      </c>
      <c r="N56" s="10" t="n">
        <v>35</v>
      </c>
    </row>
    <row r="57" ht="20" customHeight="1">
      <c r="A57" s="3" t="inlineStr">
        <is>
          <t>2026-04-10</t>
        </is>
      </c>
      <c r="B57" s="3" t="n">
        <v>2026</v>
      </c>
      <c r="C57" s="3" t="inlineStr">
        <is>
          <t>Q2</t>
        </is>
      </c>
      <c r="D57" s="3" t="n">
        <v>4</v>
      </c>
      <c r="E57" s="3" t="inlineStr">
        <is>
          <t>周五</t>
        </is>
      </c>
      <c r="F57" s="3" t="n">
        <v>15</v>
      </c>
      <c r="G57" s="4" t="n">
        <v>9</v>
      </c>
      <c r="H57" s="4" t="n">
        <v>6</v>
      </c>
      <c r="I57" s="4" t="n">
        <v>6</v>
      </c>
      <c r="J57" s="4" t="n">
        <v>4</v>
      </c>
      <c r="K57" s="3">
        <f>K56+G57</f>
        <v/>
      </c>
      <c r="L57" s="5">
        <f>IFERROR((G57-G50)/G50,"N/A")</f>
        <v/>
      </c>
      <c r="M57" s="5">
        <f>IFERROR(I57/G57,"N/A")</f>
        <v/>
      </c>
      <c r="N57" s="6" t="n">
        <v>34</v>
      </c>
    </row>
    <row r="58" ht="20" customHeight="1">
      <c r="A58" s="7" t="inlineStr">
        <is>
          <t>2026-04-11</t>
        </is>
      </c>
      <c r="B58" s="7" t="n">
        <v>2026</v>
      </c>
      <c r="C58" s="7" t="inlineStr">
        <is>
          <t>Q2</t>
        </is>
      </c>
      <c r="D58" s="7" t="n">
        <v>4</v>
      </c>
      <c r="E58" s="7" t="inlineStr">
        <is>
          <t>周六</t>
        </is>
      </c>
      <c r="F58" s="7" t="n">
        <v>15</v>
      </c>
      <c r="G58" s="8" t="n">
        <v>6</v>
      </c>
      <c r="H58" s="8" t="n">
        <v>3</v>
      </c>
      <c r="I58" s="8" t="n">
        <v>4</v>
      </c>
      <c r="J58" s="8" t="n">
        <v>2</v>
      </c>
      <c r="K58" s="7">
        <f>K57+G58</f>
        <v/>
      </c>
      <c r="L58" s="9">
        <f>IFERROR((G58-G51)/G51,"N/A")</f>
        <v/>
      </c>
      <c r="M58" s="9">
        <f>IFERROR(I58/G58,"N/A")</f>
        <v/>
      </c>
      <c r="N58" s="10" t="n">
        <v>33</v>
      </c>
    </row>
    <row r="59" ht="20" customHeight="1">
      <c r="A59" s="3" t="inlineStr">
        <is>
          <t>2026-04-12</t>
        </is>
      </c>
      <c r="B59" s="3" t="n">
        <v>2026</v>
      </c>
      <c r="C59" s="3" t="inlineStr">
        <is>
          <t>Q2</t>
        </is>
      </c>
      <c r="D59" s="3" t="n">
        <v>4</v>
      </c>
      <c r="E59" s="3" t="inlineStr">
        <is>
          <t>周日</t>
        </is>
      </c>
      <c r="F59" s="3" t="n">
        <v>15</v>
      </c>
      <c r="G59" s="4" t="n">
        <v>4</v>
      </c>
      <c r="H59" s="4" t="n">
        <v>3</v>
      </c>
      <c r="I59" s="4" t="n">
        <v>3</v>
      </c>
      <c r="J59" s="4" t="n">
        <v>1</v>
      </c>
      <c r="K59" s="3">
        <f>K58+G59</f>
        <v/>
      </c>
      <c r="L59" s="5">
        <f>IFERROR((G59-G52)/G52,"N/A")</f>
        <v/>
      </c>
      <c r="M59" s="5">
        <f>IFERROR(I59/G59,"N/A")</f>
        <v/>
      </c>
      <c r="N59" s="6" t="n">
        <v>32</v>
      </c>
    </row>
    <row r="60" ht="20" customHeight="1">
      <c r="A60" s="7" t="inlineStr">
        <is>
          <t>2026-04-13</t>
        </is>
      </c>
      <c r="B60" s="7" t="n">
        <v>2026</v>
      </c>
      <c r="C60" s="7" t="inlineStr">
        <is>
          <t>Q2</t>
        </is>
      </c>
      <c r="D60" s="7" t="n">
        <v>4</v>
      </c>
      <c r="E60" s="7" t="inlineStr">
        <is>
          <t>周一</t>
        </is>
      </c>
      <c r="F60" s="7" t="n">
        <v>16</v>
      </c>
      <c r="G60" s="8" t="n">
        <v>10</v>
      </c>
      <c r="H60" s="8" t="n">
        <v>10</v>
      </c>
      <c r="I60" s="8" t="n">
        <v>9</v>
      </c>
      <c r="J60" s="8" t="n">
        <v>4</v>
      </c>
      <c r="K60" s="7">
        <f>K59+G60</f>
        <v/>
      </c>
      <c r="L60" s="9">
        <f>IFERROR((G60-G53)/G53,"N/A")</f>
        <v/>
      </c>
      <c r="M60" s="9">
        <f>IFERROR(I60/G60,"N/A")</f>
        <v/>
      </c>
      <c r="N60" s="10" t="n">
        <v>31</v>
      </c>
    </row>
    <row r="61" ht="20" customHeight="1">
      <c r="A61" s="3" t="inlineStr">
        <is>
          <t>2026-04-14</t>
        </is>
      </c>
      <c r="B61" s="3" t="n">
        <v>2026</v>
      </c>
      <c r="C61" s="3" t="inlineStr">
        <is>
          <t>Q2</t>
        </is>
      </c>
      <c r="D61" s="3" t="n">
        <v>4</v>
      </c>
      <c r="E61" s="3" t="inlineStr">
        <is>
          <t>周二</t>
        </is>
      </c>
      <c r="F61" s="3" t="n">
        <v>16</v>
      </c>
      <c r="G61" s="4" t="n">
        <v>7</v>
      </c>
      <c r="H61" s="4" t="n">
        <v>7</v>
      </c>
      <c r="I61" s="4" t="n">
        <v>6</v>
      </c>
      <c r="J61" s="4" t="n">
        <v>2</v>
      </c>
      <c r="K61" s="3">
        <f>K60+G61</f>
        <v/>
      </c>
      <c r="L61" s="5">
        <f>IFERROR((G61-G54)/G54,"N/A")</f>
        <v/>
      </c>
      <c r="M61" s="5">
        <f>IFERROR(I61/G61,"N/A")</f>
        <v/>
      </c>
      <c r="N61" s="6" t="n">
        <v>30</v>
      </c>
    </row>
    <row r="62" ht="20" customHeight="1">
      <c r="A62" s="7" t="inlineStr">
        <is>
          <t>2026-04-15</t>
        </is>
      </c>
      <c r="B62" s="7" t="n">
        <v>2026</v>
      </c>
      <c r="C62" s="7" t="inlineStr">
        <is>
          <t>Q2</t>
        </is>
      </c>
      <c r="D62" s="7" t="n">
        <v>4</v>
      </c>
      <c r="E62" s="7" t="inlineStr">
        <is>
          <t>周三</t>
        </is>
      </c>
      <c r="F62" s="7" t="n">
        <v>16</v>
      </c>
      <c r="G62" s="8" t="n">
        <v>6</v>
      </c>
      <c r="H62" s="8" t="n">
        <v>6</v>
      </c>
      <c r="I62" s="8" t="n">
        <v>4</v>
      </c>
      <c r="J62" s="8" t="n">
        <v>4</v>
      </c>
      <c r="K62" s="7">
        <f>K61+G62</f>
        <v/>
      </c>
      <c r="L62" s="9">
        <f>IFERROR((G62-G55)/G55,"N/A")</f>
        <v/>
      </c>
      <c r="M62" s="9">
        <f>IFERROR(I62/G62,"N/A")</f>
        <v/>
      </c>
      <c r="N62" s="10" t="n">
        <v>29</v>
      </c>
    </row>
    <row r="63" ht="20" customHeight="1">
      <c r="A63" s="3" t="inlineStr">
        <is>
          <t>2026-04-16</t>
        </is>
      </c>
      <c r="B63" s="3" t="n">
        <v>2026</v>
      </c>
      <c r="C63" s="3" t="inlineStr">
        <is>
          <t>Q2</t>
        </is>
      </c>
      <c r="D63" s="3" t="n">
        <v>4</v>
      </c>
      <c r="E63" s="3" t="inlineStr">
        <is>
          <t>周四</t>
        </is>
      </c>
      <c r="F63" s="3" t="n">
        <v>16</v>
      </c>
      <c r="G63" s="4" t="n">
        <v>6</v>
      </c>
      <c r="H63" s="4" t="n">
        <v>5</v>
      </c>
      <c r="I63" s="4" t="n">
        <v>5</v>
      </c>
      <c r="J63" s="4" t="n">
        <v>1</v>
      </c>
      <c r="K63" s="3">
        <f>K62+G63</f>
        <v/>
      </c>
      <c r="L63" s="5">
        <f>IFERROR((G63-G56)/G56,"N/A")</f>
        <v/>
      </c>
      <c r="M63" s="5">
        <f>IFERROR(I63/G63,"N/A")</f>
        <v/>
      </c>
      <c r="N63" s="6" t="n">
        <v>28</v>
      </c>
    </row>
    <row r="64" ht="20" customHeight="1">
      <c r="A64" s="7" t="inlineStr">
        <is>
          <t>2026-04-17</t>
        </is>
      </c>
      <c r="B64" s="7" t="n">
        <v>2026</v>
      </c>
      <c r="C64" s="7" t="inlineStr">
        <is>
          <t>Q2</t>
        </is>
      </c>
      <c r="D64" s="7" t="n">
        <v>4</v>
      </c>
      <c r="E64" s="7" t="inlineStr">
        <is>
          <t>周五</t>
        </is>
      </c>
      <c r="F64" s="7" t="n">
        <v>16</v>
      </c>
      <c r="G64" s="8" t="n">
        <v>11</v>
      </c>
      <c r="H64" s="8" t="n">
        <v>9</v>
      </c>
      <c r="I64" s="8" t="n">
        <v>8</v>
      </c>
      <c r="J64" s="8" t="n">
        <v>2</v>
      </c>
      <c r="K64" s="7">
        <f>K63+G64</f>
        <v/>
      </c>
      <c r="L64" s="9">
        <f>IFERROR((G64-G57)/G57,"N/A")</f>
        <v/>
      </c>
      <c r="M64" s="9">
        <f>IFERROR(I64/G64,"N/A")</f>
        <v/>
      </c>
      <c r="N64" s="10" t="n">
        <v>27</v>
      </c>
    </row>
    <row r="65" ht="20" customHeight="1">
      <c r="A65" s="3" t="inlineStr">
        <is>
          <t>2026-04-18</t>
        </is>
      </c>
      <c r="B65" s="3" t="n">
        <v>2026</v>
      </c>
      <c r="C65" s="3" t="inlineStr">
        <is>
          <t>Q2</t>
        </is>
      </c>
      <c r="D65" s="3" t="n">
        <v>4</v>
      </c>
      <c r="E65" s="3" t="inlineStr">
        <is>
          <t>周六</t>
        </is>
      </c>
      <c r="F65" s="3" t="n">
        <v>16</v>
      </c>
      <c r="G65" s="4" t="n">
        <v>4</v>
      </c>
      <c r="H65" s="4" t="n">
        <v>3</v>
      </c>
      <c r="I65" s="4" t="n">
        <v>1</v>
      </c>
      <c r="J65" s="4" t="n">
        <v>4</v>
      </c>
      <c r="K65" s="3">
        <f>K64+G65</f>
        <v/>
      </c>
      <c r="L65" s="5">
        <f>IFERROR((G65-G58)/G58,"N/A")</f>
        <v/>
      </c>
      <c r="M65" s="5">
        <f>IFERROR(I65/G65,"N/A")</f>
        <v/>
      </c>
      <c r="N65" s="6" t="n">
        <v>26</v>
      </c>
    </row>
    <row r="66" ht="20" customHeight="1">
      <c r="A66" s="7" t="inlineStr">
        <is>
          <t>2026-04-19</t>
        </is>
      </c>
      <c r="B66" s="7" t="n">
        <v>2026</v>
      </c>
      <c r="C66" s="7" t="inlineStr">
        <is>
          <t>Q2</t>
        </is>
      </c>
      <c r="D66" s="7" t="n">
        <v>4</v>
      </c>
      <c r="E66" s="7" t="inlineStr">
        <is>
          <t>周日</t>
        </is>
      </c>
      <c r="F66" s="7" t="n">
        <v>16</v>
      </c>
      <c r="G66" s="8" t="n">
        <v>3</v>
      </c>
      <c r="H66" s="8" t="n">
        <v>1</v>
      </c>
      <c r="I66" s="8" t="n">
        <v>1</v>
      </c>
      <c r="J66" s="8" t="n">
        <v>3</v>
      </c>
      <c r="K66" s="7">
        <f>K65+G66</f>
        <v/>
      </c>
      <c r="L66" s="9">
        <f>IFERROR((G66-G59)/G59,"N/A")</f>
        <v/>
      </c>
      <c r="M66" s="9">
        <f>IFERROR(I66/G66,"N/A")</f>
        <v/>
      </c>
      <c r="N66" s="10" t="n">
        <v>25</v>
      </c>
    </row>
    <row r="67" ht="20" customHeight="1">
      <c r="A67" s="3" t="inlineStr">
        <is>
          <t>2026-04-20</t>
        </is>
      </c>
      <c r="B67" s="3" t="n">
        <v>2026</v>
      </c>
      <c r="C67" s="3" t="inlineStr">
        <is>
          <t>Q2</t>
        </is>
      </c>
      <c r="D67" s="3" t="n">
        <v>4</v>
      </c>
      <c r="E67" s="3" t="inlineStr">
        <is>
          <t>周一</t>
        </is>
      </c>
      <c r="F67" s="3" t="n">
        <v>17</v>
      </c>
      <c r="G67" s="4" t="n">
        <v>6</v>
      </c>
      <c r="H67" s="4" t="n">
        <v>6</v>
      </c>
      <c r="I67" s="4" t="n">
        <v>2</v>
      </c>
      <c r="J67" s="4" t="n">
        <v>1</v>
      </c>
      <c r="K67" s="3">
        <f>K66+G67</f>
        <v/>
      </c>
      <c r="L67" s="5">
        <f>IFERROR((G67-G60)/G60,"N/A")</f>
        <v/>
      </c>
      <c r="M67" s="5">
        <f>IFERROR(I67/G67,"N/A")</f>
        <v/>
      </c>
      <c r="N67" s="6" t="n">
        <v>24</v>
      </c>
    </row>
    <row r="68" ht="20" customHeight="1">
      <c r="A68" s="7" t="inlineStr">
        <is>
          <t>2026-04-21</t>
        </is>
      </c>
      <c r="B68" s="7" t="n">
        <v>2026</v>
      </c>
      <c r="C68" s="7" t="inlineStr">
        <is>
          <t>Q2</t>
        </is>
      </c>
      <c r="D68" s="7" t="n">
        <v>4</v>
      </c>
      <c r="E68" s="7" t="inlineStr">
        <is>
          <t>周二</t>
        </is>
      </c>
      <c r="F68" s="7" t="n">
        <v>17</v>
      </c>
      <c r="G68" s="8" t="n">
        <v>6</v>
      </c>
      <c r="H68" s="8" t="n">
        <v>5</v>
      </c>
      <c r="I68" s="8" t="n">
        <v>3</v>
      </c>
      <c r="J68" s="8" t="n">
        <v>2</v>
      </c>
      <c r="K68" s="7">
        <f>K67+G68</f>
        <v/>
      </c>
      <c r="L68" s="9">
        <f>IFERROR((G68-G61)/G61,"N/A")</f>
        <v/>
      </c>
      <c r="M68" s="9">
        <f>IFERROR(I68/G68,"N/A")</f>
        <v/>
      </c>
      <c r="N68" s="10" t="n">
        <v>23</v>
      </c>
    </row>
    <row r="69" ht="20" customHeight="1">
      <c r="A69" s="3" t="inlineStr">
        <is>
          <t>2026-04-22</t>
        </is>
      </c>
      <c r="B69" s="3" t="n">
        <v>2026</v>
      </c>
      <c r="C69" s="3" t="inlineStr">
        <is>
          <t>Q2</t>
        </is>
      </c>
      <c r="D69" s="3" t="n">
        <v>4</v>
      </c>
      <c r="E69" s="3" t="inlineStr">
        <is>
          <t>周三</t>
        </is>
      </c>
      <c r="F69" s="3" t="n">
        <v>17</v>
      </c>
      <c r="G69" s="4" t="n">
        <v>10</v>
      </c>
      <c r="H69" s="4" t="n">
        <v>10</v>
      </c>
      <c r="I69" s="4" t="n">
        <v>8</v>
      </c>
      <c r="J69" s="4" t="n">
        <v>3</v>
      </c>
      <c r="K69" s="3">
        <f>K68+G69</f>
        <v/>
      </c>
      <c r="L69" s="5">
        <f>IFERROR((G69-G62)/G62,"N/A")</f>
        <v/>
      </c>
      <c r="M69" s="5">
        <f>IFERROR(I69/G69,"N/A")</f>
        <v/>
      </c>
      <c r="N69" s="6" t="n">
        <v>22</v>
      </c>
    </row>
    <row r="70" ht="20" customHeight="1">
      <c r="A70" s="7" t="inlineStr">
        <is>
          <t>2026-04-23</t>
        </is>
      </c>
      <c r="B70" s="7" t="n">
        <v>2026</v>
      </c>
      <c r="C70" s="7" t="inlineStr">
        <is>
          <t>Q2</t>
        </is>
      </c>
      <c r="D70" s="7" t="n">
        <v>4</v>
      </c>
      <c r="E70" s="7" t="inlineStr">
        <is>
          <t>周四</t>
        </is>
      </c>
      <c r="F70" s="7" t="n">
        <v>17</v>
      </c>
      <c r="G70" s="8" t="n">
        <v>9</v>
      </c>
      <c r="H70" s="8" t="n">
        <v>8</v>
      </c>
      <c r="I70" s="8" t="n">
        <v>5</v>
      </c>
      <c r="J70" s="8" t="n">
        <v>3</v>
      </c>
      <c r="K70" s="7">
        <f>K69+G70</f>
        <v/>
      </c>
      <c r="L70" s="9">
        <f>IFERROR((G70-G63)/G63,"N/A")</f>
        <v/>
      </c>
      <c r="M70" s="9">
        <f>IFERROR(I70/G70,"N/A")</f>
        <v/>
      </c>
      <c r="N70" s="10" t="n">
        <v>21</v>
      </c>
    </row>
    <row r="71" ht="20" customHeight="1">
      <c r="A71" s="3" t="inlineStr">
        <is>
          <t>2026-04-24</t>
        </is>
      </c>
      <c r="B71" s="3" t="n">
        <v>2026</v>
      </c>
      <c r="C71" s="3" t="inlineStr">
        <is>
          <t>Q2</t>
        </is>
      </c>
      <c r="D71" s="3" t="n">
        <v>4</v>
      </c>
      <c r="E71" s="3" t="inlineStr">
        <is>
          <t>周五</t>
        </is>
      </c>
      <c r="F71" s="3" t="n">
        <v>17</v>
      </c>
      <c r="G71" s="4" t="n">
        <v>5</v>
      </c>
      <c r="H71" s="4" t="n">
        <v>3</v>
      </c>
      <c r="I71" s="4" t="n">
        <v>4</v>
      </c>
      <c r="J71" s="4" t="n">
        <v>2</v>
      </c>
      <c r="K71" s="3">
        <f>K70+G71</f>
        <v/>
      </c>
      <c r="L71" s="5">
        <f>IFERROR((G71-G64)/G64,"N/A")</f>
        <v/>
      </c>
      <c r="M71" s="5">
        <f>IFERROR(I71/G71,"N/A")</f>
        <v/>
      </c>
      <c r="N71" s="6" t="n">
        <v>20</v>
      </c>
    </row>
    <row r="72" ht="20" customHeight="1">
      <c r="A72" s="7" t="inlineStr">
        <is>
          <t>2026-04-25</t>
        </is>
      </c>
      <c r="B72" s="7" t="n">
        <v>2026</v>
      </c>
      <c r="C72" s="7" t="inlineStr">
        <is>
          <t>Q2</t>
        </is>
      </c>
      <c r="D72" s="7" t="n">
        <v>4</v>
      </c>
      <c r="E72" s="7" t="inlineStr">
        <is>
          <t>周六</t>
        </is>
      </c>
      <c r="F72" s="7" t="n">
        <v>17</v>
      </c>
      <c r="G72" s="8" t="n">
        <v>4</v>
      </c>
      <c r="H72" s="8" t="n">
        <v>4</v>
      </c>
      <c r="I72" s="8" t="n">
        <v>3</v>
      </c>
      <c r="J72" s="8" t="n">
        <v>2</v>
      </c>
      <c r="K72" s="7">
        <f>K71+G72</f>
        <v/>
      </c>
      <c r="L72" s="9">
        <f>IFERROR((G72-G65)/G65,"N/A")</f>
        <v/>
      </c>
      <c r="M72" s="9">
        <f>IFERROR(I72/G72,"N/A")</f>
        <v/>
      </c>
      <c r="N72" s="10" t="n">
        <v>19</v>
      </c>
    </row>
    <row r="73" ht="20" customHeight="1">
      <c r="A73" s="3" t="inlineStr">
        <is>
          <t>2026-04-26</t>
        </is>
      </c>
      <c r="B73" s="3" t="n">
        <v>2026</v>
      </c>
      <c r="C73" s="3" t="inlineStr">
        <is>
          <t>Q2</t>
        </is>
      </c>
      <c r="D73" s="3" t="n">
        <v>4</v>
      </c>
      <c r="E73" s="3" t="inlineStr">
        <is>
          <t>周日</t>
        </is>
      </c>
      <c r="F73" s="3" t="n">
        <v>17</v>
      </c>
      <c r="G73" s="4" t="n">
        <v>4</v>
      </c>
      <c r="H73" s="4" t="n">
        <v>2</v>
      </c>
      <c r="I73" s="4" t="n">
        <v>2</v>
      </c>
      <c r="J73" s="4" t="n">
        <v>3</v>
      </c>
      <c r="K73" s="3">
        <f>K72+G73</f>
        <v/>
      </c>
      <c r="L73" s="5">
        <f>IFERROR((G73-G66)/G66,"N/A")</f>
        <v/>
      </c>
      <c r="M73" s="5">
        <f>IFERROR(I73/G73,"N/A")</f>
        <v/>
      </c>
      <c r="N73" s="6" t="n">
        <v>18</v>
      </c>
    </row>
    <row r="74" ht="20" customHeight="1">
      <c r="A74" s="7" t="inlineStr">
        <is>
          <t>2026-04-27</t>
        </is>
      </c>
      <c r="B74" s="7" t="n">
        <v>2026</v>
      </c>
      <c r="C74" s="7" t="inlineStr">
        <is>
          <t>Q2</t>
        </is>
      </c>
      <c r="D74" s="7" t="n">
        <v>4</v>
      </c>
      <c r="E74" s="7" t="inlineStr">
        <is>
          <t>周一</t>
        </is>
      </c>
      <c r="F74" s="7" t="n">
        <v>18</v>
      </c>
      <c r="G74" s="8" t="n">
        <v>8</v>
      </c>
      <c r="H74" s="8" t="n">
        <v>6</v>
      </c>
      <c r="I74" s="8" t="n">
        <v>4</v>
      </c>
      <c r="J74" s="8" t="n">
        <v>3</v>
      </c>
      <c r="K74" s="7">
        <f>K73+G74</f>
        <v/>
      </c>
      <c r="L74" s="9">
        <f>IFERROR((G74-G67)/G67,"N/A")</f>
        <v/>
      </c>
      <c r="M74" s="9">
        <f>IFERROR(I74/G74,"N/A")</f>
        <v/>
      </c>
      <c r="N74" s="10" t="n">
        <v>17</v>
      </c>
    </row>
    <row r="75" ht="20" customHeight="1">
      <c r="A75" s="3" t="inlineStr">
        <is>
          <t>2026-04-28</t>
        </is>
      </c>
      <c r="B75" s="3" t="n">
        <v>2026</v>
      </c>
      <c r="C75" s="3" t="inlineStr">
        <is>
          <t>Q2</t>
        </is>
      </c>
      <c r="D75" s="3" t="n">
        <v>4</v>
      </c>
      <c r="E75" s="3" t="inlineStr">
        <is>
          <t>周二</t>
        </is>
      </c>
      <c r="F75" s="3" t="n">
        <v>18</v>
      </c>
      <c r="G75" s="4" t="n">
        <v>5</v>
      </c>
      <c r="H75" s="4" t="n">
        <v>5</v>
      </c>
      <c r="I75" s="4" t="n">
        <v>1</v>
      </c>
      <c r="J75" s="4" t="n">
        <v>3</v>
      </c>
      <c r="K75" s="3">
        <f>K74+G75</f>
        <v/>
      </c>
      <c r="L75" s="5">
        <f>IFERROR((G75-G68)/G68,"N/A")</f>
        <v/>
      </c>
      <c r="M75" s="5">
        <f>IFERROR(I75/G75,"N/A")</f>
        <v/>
      </c>
      <c r="N75" s="6" t="n">
        <v>16</v>
      </c>
    </row>
    <row r="76" ht="20" customHeight="1">
      <c r="A76" s="7" t="inlineStr">
        <is>
          <t>2026-04-29</t>
        </is>
      </c>
      <c r="B76" s="7" t="n">
        <v>2026</v>
      </c>
      <c r="C76" s="7" t="inlineStr">
        <is>
          <t>Q2</t>
        </is>
      </c>
      <c r="D76" s="7" t="n">
        <v>4</v>
      </c>
      <c r="E76" s="7" t="inlineStr">
        <is>
          <t>周三</t>
        </is>
      </c>
      <c r="F76" s="7" t="n">
        <v>18</v>
      </c>
      <c r="G76" s="8" t="n">
        <v>5</v>
      </c>
      <c r="H76" s="8" t="n">
        <v>5</v>
      </c>
      <c r="I76" s="8" t="n">
        <v>2</v>
      </c>
      <c r="J76" s="8" t="n">
        <v>2</v>
      </c>
      <c r="K76" s="7">
        <f>K75+G76</f>
        <v/>
      </c>
      <c r="L76" s="9">
        <f>IFERROR((G76-G69)/G69,"N/A")</f>
        <v/>
      </c>
      <c r="M76" s="9">
        <f>IFERROR(I76/G76,"N/A")</f>
        <v/>
      </c>
      <c r="N76" s="10" t="n">
        <v>15</v>
      </c>
    </row>
    <row r="77" ht="20" customHeight="1">
      <c r="A77" s="3" t="inlineStr">
        <is>
          <t>2026-04-30</t>
        </is>
      </c>
      <c r="B77" s="3" t="n">
        <v>2026</v>
      </c>
      <c r="C77" s="3" t="inlineStr">
        <is>
          <t>Q2</t>
        </is>
      </c>
      <c r="D77" s="3" t="n">
        <v>4</v>
      </c>
      <c r="E77" s="3" t="inlineStr">
        <is>
          <t>周四</t>
        </is>
      </c>
      <c r="F77" s="3" t="n">
        <v>18</v>
      </c>
      <c r="G77" s="4" t="n">
        <v>9</v>
      </c>
      <c r="H77" s="4" t="n">
        <v>8</v>
      </c>
      <c r="I77" s="4" t="n">
        <v>5</v>
      </c>
      <c r="J77" s="4" t="n">
        <v>4</v>
      </c>
      <c r="K77" s="3">
        <f>K76+G77</f>
        <v/>
      </c>
      <c r="L77" s="5">
        <f>IFERROR((G77-G70)/G70,"N/A")</f>
        <v/>
      </c>
      <c r="M77" s="5">
        <f>IFERROR(I77/G77,"N/A")</f>
        <v/>
      </c>
      <c r="N77" s="6" t="n">
        <v>14</v>
      </c>
    </row>
    <row r="78" ht="20" customHeight="1">
      <c r="A78" s="7" t="inlineStr">
        <is>
          <t>2026-05-01</t>
        </is>
      </c>
      <c r="B78" s="7" t="n">
        <v>2026</v>
      </c>
      <c r="C78" s="7" t="inlineStr">
        <is>
          <t>Q2</t>
        </is>
      </c>
      <c r="D78" s="7" t="n">
        <v>5</v>
      </c>
      <c r="E78" s="7" t="inlineStr">
        <is>
          <t>周五</t>
        </is>
      </c>
      <c r="F78" s="7" t="n">
        <v>18</v>
      </c>
      <c r="G78" s="8" t="n">
        <v>5</v>
      </c>
      <c r="H78" s="8" t="n">
        <v>5</v>
      </c>
      <c r="I78" s="8" t="n">
        <v>4</v>
      </c>
      <c r="J78" s="8" t="n">
        <v>2</v>
      </c>
      <c r="K78" s="7">
        <f>K77+G78</f>
        <v/>
      </c>
      <c r="L78" s="9">
        <f>IFERROR((G78-G71)/G71,"N/A")</f>
        <v/>
      </c>
      <c r="M78" s="9">
        <f>IFERROR(I78/G78,"N/A")</f>
        <v/>
      </c>
      <c r="N78" s="10" t="n">
        <v>13</v>
      </c>
    </row>
    <row r="79" ht="20" customHeight="1">
      <c r="A79" s="3" t="inlineStr">
        <is>
          <t>2026-05-02</t>
        </is>
      </c>
      <c r="B79" s="3" t="n">
        <v>2026</v>
      </c>
      <c r="C79" s="3" t="inlineStr">
        <is>
          <t>Q2</t>
        </is>
      </c>
      <c r="D79" s="3" t="n">
        <v>5</v>
      </c>
      <c r="E79" s="3" t="inlineStr">
        <is>
          <t>周六</t>
        </is>
      </c>
      <c r="F79" s="3" t="n">
        <v>18</v>
      </c>
      <c r="G79" s="4" t="n">
        <v>6</v>
      </c>
      <c r="H79" s="4" t="n">
        <v>6</v>
      </c>
      <c r="I79" s="4" t="n">
        <v>3</v>
      </c>
      <c r="J79" s="4" t="n">
        <v>2</v>
      </c>
      <c r="K79" s="3">
        <f>K78+G79</f>
        <v/>
      </c>
      <c r="L79" s="5">
        <f>IFERROR((G79-G72)/G72,"N/A")</f>
        <v/>
      </c>
      <c r="M79" s="5">
        <f>IFERROR(I79/G79,"N/A")</f>
        <v/>
      </c>
      <c r="N79" s="6" t="n">
        <v>12</v>
      </c>
    </row>
    <row r="80" ht="20" customHeight="1">
      <c r="A80" s="7" t="inlineStr">
        <is>
          <t>2026-05-03</t>
        </is>
      </c>
      <c r="B80" s="7" t="n">
        <v>2026</v>
      </c>
      <c r="C80" s="7" t="inlineStr">
        <is>
          <t>Q2</t>
        </is>
      </c>
      <c r="D80" s="7" t="n">
        <v>5</v>
      </c>
      <c r="E80" s="7" t="inlineStr">
        <is>
          <t>周日</t>
        </is>
      </c>
      <c r="F80" s="7" t="n">
        <v>18</v>
      </c>
      <c r="G80" s="8" t="n">
        <v>5</v>
      </c>
      <c r="H80" s="8" t="n">
        <v>4</v>
      </c>
      <c r="I80" s="8" t="n">
        <v>4</v>
      </c>
      <c r="J80" s="8" t="n">
        <v>3</v>
      </c>
      <c r="K80" s="7">
        <f>K79+G80</f>
        <v/>
      </c>
      <c r="L80" s="9">
        <f>IFERROR((G80-G73)/G73,"N/A")</f>
        <v/>
      </c>
      <c r="M80" s="9">
        <f>IFERROR(I80/G80,"N/A")</f>
        <v/>
      </c>
      <c r="N80" s="10" t="n">
        <v>11</v>
      </c>
    </row>
    <row r="81" ht="20" customHeight="1">
      <c r="A81" s="3" t="inlineStr">
        <is>
          <t>2026-05-04</t>
        </is>
      </c>
      <c r="B81" s="3" t="n">
        <v>2026</v>
      </c>
      <c r="C81" s="3" t="inlineStr">
        <is>
          <t>Q2</t>
        </is>
      </c>
      <c r="D81" s="3" t="n">
        <v>5</v>
      </c>
      <c r="E81" s="3" t="inlineStr">
        <is>
          <t>周一</t>
        </is>
      </c>
      <c r="F81" s="3" t="n">
        <v>19</v>
      </c>
      <c r="G81" s="4" t="n">
        <v>10</v>
      </c>
      <c r="H81" s="4" t="n">
        <v>10</v>
      </c>
      <c r="I81" s="4" t="n">
        <v>7</v>
      </c>
      <c r="J81" s="4" t="n">
        <v>2</v>
      </c>
      <c r="K81" s="3">
        <f>K80+G81</f>
        <v/>
      </c>
      <c r="L81" s="5">
        <f>IFERROR((G81-G74)/G74,"N/A")</f>
        <v/>
      </c>
      <c r="M81" s="5">
        <f>IFERROR(I81/G81,"N/A")</f>
        <v/>
      </c>
      <c r="N81" s="6" t="n">
        <v>10</v>
      </c>
    </row>
    <row r="82" ht="20" customHeight="1">
      <c r="A82" s="7" t="inlineStr">
        <is>
          <t>2026-05-05</t>
        </is>
      </c>
      <c r="B82" s="7" t="n">
        <v>2026</v>
      </c>
      <c r="C82" s="7" t="inlineStr">
        <is>
          <t>Q2</t>
        </is>
      </c>
      <c r="D82" s="7" t="n">
        <v>5</v>
      </c>
      <c r="E82" s="7" t="inlineStr">
        <is>
          <t>周二</t>
        </is>
      </c>
      <c r="F82" s="7" t="n">
        <v>19</v>
      </c>
      <c r="G82" s="8" t="n">
        <v>8</v>
      </c>
      <c r="H82" s="8" t="n">
        <v>8</v>
      </c>
      <c r="I82" s="8" t="n">
        <v>5</v>
      </c>
      <c r="J82" s="8" t="n">
        <v>4</v>
      </c>
      <c r="K82" s="7">
        <f>K81+G82</f>
        <v/>
      </c>
      <c r="L82" s="9">
        <f>IFERROR((G82-G75)/G75,"N/A")</f>
        <v/>
      </c>
      <c r="M82" s="9">
        <f>IFERROR(I82/G82,"N/A")</f>
        <v/>
      </c>
      <c r="N82" s="10" t="n">
        <v>9</v>
      </c>
    </row>
    <row r="83" ht="20" customHeight="1">
      <c r="A83" s="3" t="inlineStr">
        <is>
          <t>2026-05-06</t>
        </is>
      </c>
      <c r="B83" s="3" t="n">
        <v>2026</v>
      </c>
      <c r="C83" s="3" t="inlineStr">
        <is>
          <t>Q2</t>
        </is>
      </c>
      <c r="D83" s="3" t="n">
        <v>5</v>
      </c>
      <c r="E83" s="3" t="inlineStr">
        <is>
          <t>周三</t>
        </is>
      </c>
      <c r="F83" s="3" t="n">
        <v>19</v>
      </c>
      <c r="G83" s="4" t="n">
        <v>7</v>
      </c>
      <c r="H83" s="4" t="n">
        <v>6</v>
      </c>
      <c r="I83" s="4" t="n">
        <v>5</v>
      </c>
      <c r="J83" s="4" t="n">
        <v>2</v>
      </c>
      <c r="K83" s="3">
        <f>K82+G83</f>
        <v/>
      </c>
      <c r="L83" s="5">
        <f>IFERROR((G83-G76)/G76,"N/A")</f>
        <v/>
      </c>
      <c r="M83" s="5">
        <f>IFERROR(I83/G83,"N/A")</f>
        <v/>
      </c>
      <c r="N83" s="6" t="n">
        <v>8</v>
      </c>
    </row>
    <row r="84" ht="20" customHeight="1">
      <c r="A84" s="7" t="inlineStr">
        <is>
          <t>2026-05-07</t>
        </is>
      </c>
      <c r="B84" s="7" t="n">
        <v>2026</v>
      </c>
      <c r="C84" s="7" t="inlineStr">
        <is>
          <t>Q2</t>
        </is>
      </c>
      <c r="D84" s="7" t="n">
        <v>5</v>
      </c>
      <c r="E84" s="7" t="inlineStr">
        <is>
          <t>周四</t>
        </is>
      </c>
      <c r="F84" s="7" t="n">
        <v>19</v>
      </c>
      <c r="G84" s="8" t="n">
        <v>11</v>
      </c>
      <c r="H84" s="8" t="n">
        <v>11</v>
      </c>
      <c r="I84" s="8" t="n">
        <v>9</v>
      </c>
      <c r="J84" s="8" t="n">
        <v>3</v>
      </c>
      <c r="K84" s="7">
        <f>K83+G84</f>
        <v/>
      </c>
      <c r="L84" s="9">
        <f>IFERROR((G84-G77)/G77,"N/A")</f>
        <v/>
      </c>
      <c r="M84" s="9">
        <f>IFERROR(I84/G84,"N/A")</f>
        <v/>
      </c>
      <c r="N84" s="10" t="n">
        <v>7</v>
      </c>
    </row>
    <row r="85" ht="20" customHeight="1">
      <c r="A85" s="3" t="inlineStr">
        <is>
          <t>2026-05-08</t>
        </is>
      </c>
      <c r="B85" s="3" t="n">
        <v>2026</v>
      </c>
      <c r="C85" s="3" t="inlineStr">
        <is>
          <t>Q2</t>
        </is>
      </c>
      <c r="D85" s="3" t="n">
        <v>5</v>
      </c>
      <c r="E85" s="3" t="inlineStr">
        <is>
          <t>周五</t>
        </is>
      </c>
      <c r="F85" s="3" t="n">
        <v>19</v>
      </c>
      <c r="G85" s="4" t="n">
        <v>11</v>
      </c>
      <c r="H85" s="4" t="n">
        <v>10</v>
      </c>
      <c r="I85" s="4" t="n">
        <v>8</v>
      </c>
      <c r="J85" s="4" t="n">
        <v>2</v>
      </c>
      <c r="K85" s="3">
        <f>K84+G85</f>
        <v/>
      </c>
      <c r="L85" s="5">
        <f>IFERROR((G85-G78)/G78,"N/A")</f>
        <v/>
      </c>
      <c r="M85" s="5">
        <f>IFERROR(I85/G85,"N/A")</f>
        <v/>
      </c>
      <c r="N85" s="6" t="n">
        <v>6</v>
      </c>
    </row>
    <row r="86" ht="20" customHeight="1">
      <c r="A86" s="7" t="inlineStr">
        <is>
          <t>2026-05-09</t>
        </is>
      </c>
      <c r="B86" s="7" t="n">
        <v>2026</v>
      </c>
      <c r="C86" s="7" t="inlineStr">
        <is>
          <t>Q2</t>
        </is>
      </c>
      <c r="D86" s="7" t="n">
        <v>5</v>
      </c>
      <c r="E86" s="7" t="inlineStr">
        <is>
          <t>周六</t>
        </is>
      </c>
      <c r="F86" s="7" t="n">
        <v>19</v>
      </c>
      <c r="G86" s="8" t="n">
        <v>2</v>
      </c>
      <c r="H86" s="8" t="n">
        <v>1</v>
      </c>
      <c r="I86" s="8" t="n">
        <v>1</v>
      </c>
      <c r="J86" s="8" t="n">
        <v>4</v>
      </c>
      <c r="K86" s="7">
        <f>K85+G86</f>
        <v/>
      </c>
      <c r="L86" s="9">
        <f>IFERROR((G86-G79)/G79,"N/A")</f>
        <v/>
      </c>
      <c r="M86" s="9">
        <f>IFERROR(I86/G86,"N/A")</f>
        <v/>
      </c>
      <c r="N86" s="10" t="n">
        <v>5</v>
      </c>
    </row>
    <row r="87" ht="20" customHeight="1">
      <c r="A87" s="3" t="inlineStr">
        <is>
          <t>2026-05-10</t>
        </is>
      </c>
      <c r="B87" s="3" t="n">
        <v>2026</v>
      </c>
      <c r="C87" s="3" t="inlineStr">
        <is>
          <t>Q2</t>
        </is>
      </c>
      <c r="D87" s="3" t="n">
        <v>5</v>
      </c>
      <c r="E87" s="3" t="inlineStr">
        <is>
          <t>周日</t>
        </is>
      </c>
      <c r="F87" s="3" t="n">
        <v>19</v>
      </c>
      <c r="G87" s="4" t="n">
        <v>3</v>
      </c>
      <c r="H87" s="4" t="n">
        <v>2</v>
      </c>
      <c r="I87" s="4" t="n">
        <v>1</v>
      </c>
      <c r="J87" s="4" t="n">
        <v>3</v>
      </c>
      <c r="K87" s="3">
        <f>K86+G87</f>
        <v/>
      </c>
      <c r="L87" s="5">
        <f>IFERROR((G87-G80)/G80,"N/A")</f>
        <v/>
      </c>
      <c r="M87" s="5">
        <f>IFERROR(I87/G87,"N/A")</f>
        <v/>
      </c>
      <c r="N87" s="6" t="n">
        <v>4</v>
      </c>
    </row>
    <row r="88" ht="20" customHeight="1">
      <c r="A88" s="7" t="inlineStr">
        <is>
          <t>2026-05-11</t>
        </is>
      </c>
      <c r="B88" s="7" t="n">
        <v>2026</v>
      </c>
      <c r="C88" s="7" t="inlineStr">
        <is>
          <t>Q2</t>
        </is>
      </c>
      <c r="D88" s="7" t="n">
        <v>5</v>
      </c>
      <c r="E88" s="7" t="inlineStr">
        <is>
          <t>周一</t>
        </is>
      </c>
      <c r="F88" s="7" t="n">
        <v>20</v>
      </c>
      <c r="G88" s="8" t="n">
        <v>9</v>
      </c>
      <c r="H88" s="8" t="n">
        <v>8</v>
      </c>
      <c r="I88" s="8" t="n">
        <v>7</v>
      </c>
      <c r="J88" s="8" t="n">
        <v>1</v>
      </c>
      <c r="K88" s="7">
        <f>K87+G88</f>
        <v/>
      </c>
      <c r="L88" s="9">
        <f>IFERROR((G88-G81)/G81,"N/A")</f>
        <v/>
      </c>
      <c r="M88" s="9">
        <f>IFERROR(I88/G88,"N/A")</f>
        <v/>
      </c>
      <c r="N88" s="10" t="n">
        <v>3</v>
      </c>
    </row>
    <row r="89" ht="20" customHeight="1">
      <c r="A89" s="3" t="inlineStr">
        <is>
          <t>2026-05-12</t>
        </is>
      </c>
      <c r="B89" s="3" t="n">
        <v>2026</v>
      </c>
      <c r="C89" s="3" t="inlineStr">
        <is>
          <t>Q2</t>
        </is>
      </c>
      <c r="D89" s="3" t="n">
        <v>5</v>
      </c>
      <c r="E89" s="3" t="inlineStr">
        <is>
          <t>周二</t>
        </is>
      </c>
      <c r="F89" s="3" t="n">
        <v>20</v>
      </c>
      <c r="G89" s="4" t="n">
        <v>8</v>
      </c>
      <c r="H89" s="4" t="n">
        <v>5</v>
      </c>
      <c r="I89" s="4" t="n">
        <v>5</v>
      </c>
      <c r="J89" s="4" t="n">
        <v>3</v>
      </c>
      <c r="K89" s="3">
        <f>K88+G89</f>
        <v/>
      </c>
      <c r="L89" s="5">
        <f>IFERROR((G89-G82)/G82,"N/A")</f>
        <v/>
      </c>
      <c r="M89" s="5">
        <f>IFERROR(I89/G89,"N/A")</f>
        <v/>
      </c>
      <c r="N89" s="6" t="n">
        <v>2</v>
      </c>
    </row>
    <row r="90" ht="20" customHeight="1">
      <c r="A90" s="7" t="inlineStr">
        <is>
          <t>2026-05-13</t>
        </is>
      </c>
      <c r="B90" s="7" t="n">
        <v>2026</v>
      </c>
      <c r="C90" s="7" t="inlineStr">
        <is>
          <t>Q2</t>
        </is>
      </c>
      <c r="D90" s="7" t="n">
        <v>5</v>
      </c>
      <c r="E90" s="7" t="inlineStr">
        <is>
          <t>周三</t>
        </is>
      </c>
      <c r="F90" s="7" t="n">
        <v>20</v>
      </c>
      <c r="G90" s="8" t="n">
        <v>6</v>
      </c>
      <c r="H90" s="8" t="n">
        <v>4</v>
      </c>
      <c r="I90" s="8" t="n">
        <v>3</v>
      </c>
      <c r="J90" s="8" t="n">
        <v>4</v>
      </c>
      <c r="K90" s="7">
        <f>K89+G90</f>
        <v/>
      </c>
      <c r="L90" s="9">
        <f>IFERROR((G90-G83)/G83,"N/A")</f>
        <v/>
      </c>
      <c r="M90" s="9">
        <f>IFERROR(I90/G90,"N/A")</f>
        <v/>
      </c>
      <c r="N90" s="10" t="n">
        <v>1</v>
      </c>
    </row>
    <row r="91" ht="20" customHeight="1">
      <c r="A91" s="3" t="inlineStr">
        <is>
          <t>2026-05-14</t>
        </is>
      </c>
      <c r="B91" s="3" t="n">
        <v>2026</v>
      </c>
      <c r="C91" s="3" t="inlineStr">
        <is>
          <t>Q2</t>
        </is>
      </c>
      <c r="D91" s="3" t="n">
        <v>5</v>
      </c>
      <c r="E91" s="3" t="inlineStr">
        <is>
          <t>周四</t>
        </is>
      </c>
      <c r="F91" s="3" t="n">
        <v>20</v>
      </c>
      <c r="G91" s="4" t="n">
        <v>10</v>
      </c>
      <c r="H91" s="4" t="n">
        <v>10</v>
      </c>
      <c r="I91" s="4" t="n">
        <v>9</v>
      </c>
      <c r="J91" s="4" t="n">
        <v>3</v>
      </c>
      <c r="K91" s="3">
        <f>K90+G91</f>
        <v/>
      </c>
      <c r="L91" s="5">
        <f>IFERROR((G91-G84)/G84,"N/A")</f>
        <v/>
      </c>
      <c r="M91" s="5">
        <f>IFERROR(I91/G91,"N/A")</f>
        <v/>
      </c>
      <c r="N91" s="6" t="n">
        <v>0</v>
      </c>
    </row>
  </sheetData>
  <autoFilter ref="A2:N91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📊 数据看板 — 自动汇总</t>
        </is>
      </c>
    </row>
    <row r="2" ht="24" customHeight="1">
      <c r="A2" s="11" t="inlineStr">
        <is>
          <t>▸ 按时间范围汇总</t>
        </is>
      </c>
      <c r="G2" s="11" t="inlineStr">
        <is>
          <t>▸ 按月汇总</t>
        </is>
      </c>
    </row>
    <row r="3">
      <c r="A3" s="2" t="inlineStr">
        <is>
          <t>指标</t>
        </is>
      </c>
      <c r="B3" s="2" t="inlineStr">
        <is>
          <t>近7天</t>
        </is>
      </c>
      <c r="C3" s="2" t="inlineStr">
        <is>
          <t>近30天</t>
        </is>
      </c>
      <c r="D3" s="2" t="inlineStr">
        <is>
          <t>近90天</t>
        </is>
      </c>
      <c r="E3" s="2" t="inlineStr">
        <is>
          <t>全部</t>
        </is>
      </c>
      <c r="G3" s="2" t="inlineStr">
        <is>
          <t>月份</t>
        </is>
      </c>
      <c r="H3" s="2" t="inlineStr">
        <is>
          <t>生成文章数</t>
        </is>
      </c>
      <c r="I3" s="2" t="inlineStr">
        <is>
          <t>已收录数</t>
        </is>
      </c>
      <c r="J3" s="2" t="inlineStr">
        <is>
          <t>收录率</t>
        </is>
      </c>
    </row>
    <row r="4">
      <c r="A4" s="12" t="inlineStr">
        <is>
          <t>生成文章数</t>
        </is>
      </c>
      <c r="B4" s="13">
        <f>SUMIFS(原始数据!G3:G91,原始数据!N3:N91,"&lt;7")</f>
        <v/>
      </c>
      <c r="C4" s="13">
        <f>SUMIFS(原始数据!G3:G91,原始数据!N3:N91,"&lt;30")</f>
        <v/>
      </c>
      <c r="D4" s="13">
        <f>SUMIFS(原始数据!G3:G91,原始数据!N3:N91,"&lt;90")</f>
        <v/>
      </c>
      <c r="E4" s="13">
        <f>SUM(原始数据!G3:G91)</f>
        <v/>
      </c>
      <c r="G4" s="12" t="inlineStr">
        <is>
          <t>2026年2月</t>
        </is>
      </c>
      <c r="H4" s="13">
        <f>SUMIFS(原始数据!G3:G91,原始数据!D3:D91,2)</f>
        <v/>
      </c>
      <c r="I4" s="13">
        <f>SUMIFS(原始数据!I3:I91,原始数据!D3:D91,2)</f>
        <v/>
      </c>
      <c r="J4" s="5">
        <f>IFERROR(H4/I4,"N/A")</f>
        <v/>
      </c>
    </row>
    <row r="5">
      <c r="A5" s="14" t="inlineStr">
        <is>
          <t>追踪链接数</t>
        </is>
      </c>
      <c r="B5" s="15">
        <f>SUMIFS(原始数据!H3:H91,原始数据!N3:N91,"&lt;7")</f>
        <v/>
      </c>
      <c r="C5" s="15">
        <f>SUMIFS(原始数据!H3:H91,原始数据!N3:N91,"&lt;30")</f>
        <v/>
      </c>
      <c r="D5" s="15">
        <f>SUMIFS(原始数据!H3:H91,原始数据!N3:N91,"&lt;90")</f>
        <v/>
      </c>
      <c r="E5" s="15">
        <f>SUM(原始数据!H3:H91)</f>
        <v/>
      </c>
      <c r="G5" s="14" t="inlineStr">
        <is>
          <t>2026年3月</t>
        </is>
      </c>
      <c r="H5" s="15">
        <f>SUMIFS(原始数据!G3:G91,原始数据!D3:D91,3)</f>
        <v/>
      </c>
      <c r="I5" s="15">
        <f>SUMIFS(原始数据!I3:I91,原始数据!D3:D91,3)</f>
        <v/>
      </c>
      <c r="J5" s="9">
        <f>IFERROR(H5/I5,"N/A")</f>
        <v/>
      </c>
    </row>
    <row r="6">
      <c r="A6" s="12" t="inlineStr">
        <is>
          <t>已收录数</t>
        </is>
      </c>
      <c r="B6" s="13">
        <f>SUMIFS(原始数据!I3:I91,原始数据!N3:N91,"&lt;7")</f>
        <v/>
      </c>
      <c r="C6" s="13">
        <f>SUMIFS(原始数据!I3:I91,原始数据!N3:N91,"&lt;30")</f>
        <v/>
      </c>
      <c r="D6" s="13">
        <f>SUMIFS(原始数据!I3:I91,原始数据!N3:N91,"&lt;90")</f>
        <v/>
      </c>
      <c r="E6" s="13">
        <f>SUM(原始数据!I3:I91)</f>
        <v/>
      </c>
      <c r="G6" s="12" t="inlineStr">
        <is>
          <t>2026年4月</t>
        </is>
      </c>
      <c r="H6" s="13">
        <f>SUMIFS(原始数据!G3:G91,原始数据!D3:D91,4)</f>
        <v/>
      </c>
      <c r="I6" s="13">
        <f>SUMIFS(原始数据!I3:I91,原始数据!D3:D91,4)</f>
        <v/>
      </c>
      <c r="J6" s="5">
        <f>IFERROR(H6/I6,"N/A")</f>
        <v/>
      </c>
    </row>
    <row r="7">
      <c r="A7" s="14" t="inlineStr">
        <is>
          <t>AI引用次数</t>
        </is>
      </c>
      <c r="B7" s="15">
        <f>SUMIFS(原始数据!J3:J91,原始数据!N3:N91,"&lt;7")</f>
        <v/>
      </c>
      <c r="C7" s="15">
        <f>SUMIFS(原始数据!J3:J91,原始数据!N3:N91,"&lt;30")</f>
        <v/>
      </c>
      <c r="D7" s="15">
        <f>SUMIFS(原始数据!J3:J91,原始数据!N3:N91,"&lt;90")</f>
        <v/>
      </c>
      <c r="E7" s="15">
        <f>SUM(原始数据!J3:J91)</f>
        <v/>
      </c>
      <c r="G7" s="14" t="inlineStr">
        <is>
          <t>2026年5月</t>
        </is>
      </c>
      <c r="H7" s="15">
        <f>SUMIFS(原始数据!G3:G91,原始数据!D3:D91,5)</f>
        <v/>
      </c>
      <c r="I7" s="15">
        <f>SUMIFS(原始数据!I3:I91,原始数据!D3:D91,5)</f>
        <v/>
      </c>
      <c r="J7" s="9">
        <f>IFERROR(H7/I7,"N/A")</f>
        <v/>
      </c>
    </row>
    <row r="8">
      <c r="A8" s="16" t="inlineStr">
        <is>
          <t>合计</t>
        </is>
      </c>
      <c r="B8" s="17">
        <f>SUM(B4:B7)</f>
        <v/>
      </c>
      <c r="C8" s="17">
        <f>SUM(C4:C7)</f>
        <v/>
      </c>
      <c r="D8" s="17">
        <f>SUM(D4:D7)</f>
        <v/>
      </c>
      <c r="E8" s="17">
        <f>SUM(E4:E7)</f>
        <v/>
      </c>
      <c r="G8" s="16" t="inlineStr">
        <is>
          <t>合计</t>
        </is>
      </c>
      <c r="H8" s="17">
        <f>SUM(H4:H7)</f>
        <v/>
      </c>
      <c r="I8" s="17">
        <f>SUM(I4:I7)</f>
        <v/>
      </c>
      <c r="J8" s="18" t="inlineStr">
        <is>
          <t>—</t>
        </is>
      </c>
    </row>
    <row r="10">
      <c r="A10" s="11" t="inlineStr">
        <is>
          <t>▸ 按季度汇总</t>
        </is>
      </c>
    </row>
    <row r="11">
      <c r="A11" s="2" t="inlineStr">
        <is>
          <t>季度</t>
        </is>
      </c>
      <c r="B11" s="2" t="inlineStr">
        <is>
          <t>生成文章数</t>
        </is>
      </c>
      <c r="C11" s="2" t="inlineStr">
        <is>
          <t>追踪链接数</t>
        </is>
      </c>
      <c r="D11" s="2" t="inlineStr">
        <is>
          <t>已收录数</t>
        </is>
      </c>
      <c r="E11" s="2" t="inlineStr">
        <is>
          <t>AI引用次数</t>
        </is>
      </c>
      <c r="F11" s="2" t="inlineStr">
        <is>
          <t>收录率</t>
        </is>
      </c>
    </row>
    <row r="12">
      <c r="A12" s="12" t="inlineStr">
        <is>
          <t>2025年Q1</t>
        </is>
      </c>
      <c r="B12" s="19" t="n">
        <v>280</v>
      </c>
      <c r="C12" s="19" t="n">
        <v>245</v>
      </c>
      <c r="D12" s="19" t="n">
        <v>196</v>
      </c>
      <c r="E12" s="19" t="n">
        <v>92</v>
      </c>
      <c r="F12" s="5">
        <f>IFERROR(D12/B12,"N/A")</f>
        <v/>
      </c>
    </row>
    <row r="13">
      <c r="A13" s="14" t="inlineStr">
        <is>
          <t>2025年Q2</t>
        </is>
      </c>
      <c r="B13" s="20" t="n">
        <v>315</v>
      </c>
      <c r="C13" s="20" t="n">
        <v>278</v>
      </c>
      <c r="D13" s="20" t="n">
        <v>228</v>
      </c>
      <c r="E13" s="20" t="n">
        <v>115</v>
      </c>
      <c r="F13" s="9">
        <f>IFERROR(D13/B13,"N/A")</f>
        <v/>
      </c>
    </row>
    <row r="14">
      <c r="A14" s="12" t="inlineStr">
        <is>
          <t>2025年Q3</t>
        </is>
      </c>
      <c r="B14" s="19" t="n">
        <v>345</v>
      </c>
      <c r="C14" s="19" t="n">
        <v>304</v>
      </c>
      <c r="D14" s="19" t="n">
        <v>258</v>
      </c>
      <c r="E14" s="19" t="n">
        <v>138</v>
      </c>
      <c r="F14" s="5">
        <f>IFERROR(D14/B14,"N/A")</f>
        <v/>
      </c>
    </row>
    <row r="15">
      <c r="A15" s="14" t="inlineStr">
        <is>
          <t>2025年Q4</t>
        </is>
      </c>
      <c r="B15" s="20" t="n">
        <v>300</v>
      </c>
      <c r="C15" s="20" t="n">
        <v>260</v>
      </c>
      <c r="D15" s="20" t="n">
        <v>215</v>
      </c>
      <c r="E15" s="20" t="n">
        <v>125</v>
      </c>
      <c r="F15" s="9">
        <f>IFERROR(D15/B15,"N/A")</f>
        <v/>
      </c>
    </row>
    <row r="16">
      <c r="A16" s="12" t="inlineStr">
        <is>
          <t>2026年Q1</t>
        </is>
      </c>
      <c r="B16" s="21">
        <f>SUMIFS(原始数据!G3:G91,原始数据!C3:C91,"Q1")</f>
        <v/>
      </c>
      <c r="C16" s="21">
        <f>SUMIFS(原始数据!H3:H91,原始数据!C3:C91,"Q1")</f>
        <v/>
      </c>
      <c r="D16" s="21">
        <f>SUMIFS(原始数据!I3:I91,原始数据!C3:C91,"Q1")</f>
        <v/>
      </c>
      <c r="E16" s="21">
        <f>SUMIFS(原始数据!J3:J91,原始数据!C3:C91,"Q1")</f>
        <v/>
      </c>
      <c r="F16" s="5">
        <f>IFERROR(D16/B16,"N/A")</f>
        <v/>
      </c>
    </row>
    <row r="17">
      <c r="A17" s="16" t="inlineStr">
        <is>
          <t>总计</t>
        </is>
      </c>
      <c r="B17" s="17">
        <f>SUM(B12:B16)</f>
        <v/>
      </c>
      <c r="C17" s="17">
        <f>SUM(C12:C16)</f>
        <v/>
      </c>
      <c r="D17" s="17">
        <f>SUM(D12:D16)</f>
        <v/>
      </c>
      <c r="E17" s="17">
        <f>SUM(E12:E16)</f>
        <v/>
      </c>
      <c r="F17" s="22">
        <f>IFERROR(D17/B17,"N/A")</f>
        <v/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2026-05-14T10:53:49Z</dcterms:created>
  <dcterms:modified xmlns:dcterms="http://purl.org/dc/terms/" xmlns:xsi="http://www.w3.org/2001/XMLSchema-instance" xsi:type="dcterms:W3CDTF">2026-05-14T10:53:49Z</dcterms:modified>
</cp:coreProperties>
</file>